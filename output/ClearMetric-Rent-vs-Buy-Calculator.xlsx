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vs Buy Calculator" sheetId="1" state="visible" r:id="rId1"/>
    <sheet xmlns:r="http://schemas.openxmlformats.org/officeDocument/2006/relationships" name="Year-by-Year" sheetId="2" state="visible" r:id="rId2"/>
    <sheet xmlns:r="http://schemas.openxmlformats.org/officeDocument/2006/relationships" name="What-If Scenarios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A3E4D7"/>
      <sz val="12"/>
    </font>
    <font>
      <name val="Calibri"/>
      <b val="1"/>
      <color rgb="00FFFFFF"/>
      <sz val="13"/>
    </font>
    <font>
      <name val="Calibri"/>
      <color rgb="002C3E50"/>
      <sz val="11"/>
    </font>
    <font>
      <name val="Calibri"/>
      <b val="1"/>
      <color rgb="00117A65"/>
      <sz val="12"/>
    </font>
    <font>
      <name val="Calibri"/>
      <i val="1"/>
      <color rgb="005D6D7E"/>
      <sz val="9"/>
    </font>
    <font>
      <name val="Calibri"/>
      <b val="1"/>
      <color rgb="00117A65"/>
      <sz val="11"/>
    </font>
    <font>
      <name val="Calibri"/>
      <b val="1"/>
      <color rgb="00A3E4D7"/>
      <sz val="14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0E6655"/>
        <bgColor rgb="000E6655"/>
      </patternFill>
    </fill>
    <fill>
      <patternFill patternType="solid">
        <fgColor rgb="00117A65"/>
        <bgColor rgb="00117A65"/>
      </patternFill>
    </fill>
    <fill>
      <patternFill patternType="solid">
        <fgColor rgb="00F5F6FA"/>
        <bgColor rgb="00F5F6FA"/>
      </patternFill>
    </fill>
    <fill>
      <patternFill patternType="solid">
        <fgColor rgb="00D1F2EB"/>
        <bgColor rgb="00D1F2EB"/>
      </patternFill>
    </fill>
    <fill>
      <patternFill patternType="solid">
        <fgColor rgb="00E8F6F3"/>
        <bgColor rgb="00E8F6F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5" borderId="1" applyAlignment="1" pivotButton="0" quotePrefix="0" xfId="0">
      <alignment horizontal="left" vertical="center" wrapText="1"/>
    </xf>
    <xf numFmtId="164" fontId="5" fillId="6" borderId="1" applyAlignment="1" applyProtection="1" pivotButton="0" quotePrefix="0" xfId="0">
      <alignment horizontal="right" vertical="center"/>
      <protection locked="0" hidden="0"/>
    </xf>
    <xf numFmtId="164" fontId="4" fillId="2" borderId="1" applyAlignment="1" pivotButton="0" quotePrefix="0" xfId="0">
      <alignment horizontal="right" vertical="center"/>
    </xf>
    <xf numFmtId="9" fontId="5" fillId="6" borderId="1" applyAlignment="1" applyProtection="1" pivotButton="0" quotePrefix="0" xfId="0">
      <alignment horizontal="right" vertical="center"/>
      <protection locked="0" hidden="0"/>
    </xf>
    <xf numFmtId="164" fontId="7" fillId="2" borderId="1" applyAlignment="1" pivotButton="0" quotePrefix="0" xfId="0">
      <alignment horizontal="right" vertical="center"/>
    </xf>
    <xf numFmtId="10" fontId="5" fillId="6" borderId="1" applyAlignment="1" applyProtection="1" pivotButton="0" quotePrefix="0" xfId="0">
      <alignment horizontal="right" vertical="center"/>
      <protection locked="0" hidden="0"/>
    </xf>
    <xf numFmtId="1" fontId="5" fillId="6" borderId="1" applyAlignment="1" applyProtection="1" pivotButton="0" quotePrefix="0" xfId="0">
      <alignment horizontal="right" vertical="center"/>
      <protection locked="0" hidden="0"/>
    </xf>
    <xf numFmtId="165" fontId="5" fillId="6" borderId="1" applyAlignment="1" applyProtection="1" pivotButton="0" quotePrefix="0" xfId="0">
      <alignment horizontal="right" vertical="center"/>
      <protection locked="0" hidden="0"/>
    </xf>
    <xf numFmtId="0" fontId="8" fillId="3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2" borderId="1" pivotButton="0" quotePrefix="0" xfId="0"/>
    <xf numFmtId="164" fontId="7" fillId="2" borderId="1" pivotButton="0" quotePrefix="0" xfId="0"/>
    <xf numFmtId="164" fontId="0" fillId="2" borderId="1" pivotButton="0" quotePrefix="0" xfId="0"/>
    <xf numFmtId="0" fontId="4" fillId="2" borderId="1" pivotButton="0" quotePrefix="0" xfId="0"/>
    <xf numFmtId="0" fontId="7" fillId="2" borderId="1" pivotButton="0" quotePrefix="0" xfId="0"/>
    <xf numFmtId="164" fontId="4" fillId="5" borderId="1" pivotButton="0" quotePrefix="0" xfId="0"/>
    <xf numFmtId="164" fontId="7" fillId="5" borderId="1" pivotButton="0" quotePrefix="0" xfId="0"/>
    <xf numFmtId="164" fontId="0" fillId="5" borderId="1" pivotButton="0" quotePrefix="0" xfId="0"/>
    <xf numFmtId="0" fontId="4" fillId="5" borderId="1" pivotButton="0" quotePrefix="0" xfId="0"/>
    <xf numFmtId="0" fontId="7" fillId="5" borderId="1" pivotButton="0" quotePrefix="0" xfId="0"/>
    <xf numFmtId="0" fontId="3" fillId="4" borderId="0" applyAlignment="1" pivotButton="0" quotePrefix="0" xfId="0">
      <alignment horizontal="center" vertical="center" wrapText="1"/>
    </xf>
    <xf numFmtId="0" fontId="5" fillId="2" borderId="0" pivotButton="0" quotePrefix="0" xfId="0"/>
    <xf numFmtId="10" fontId="7" fillId="7" borderId="1" applyAlignment="1" pivotButton="0" quotePrefix="0" xfId="0">
      <alignment horizontal="center" vertical="center" wrapText="1"/>
    </xf>
    <xf numFmtId="10" fontId="5" fillId="6" borderId="1" applyAlignment="1" applyProtection="1" pivotButton="0" quotePrefix="0" xfId="0">
      <alignment horizontal="center" vertical="center" wrapText="1"/>
      <protection locked="0" hidden="0"/>
    </xf>
    <xf numFmtId="165" fontId="7" fillId="7" borderId="1" applyAlignment="1" pivotButton="0" quotePrefix="0" xfId="0">
      <alignment horizontal="center" vertical="center" wrapText="1"/>
    </xf>
    <xf numFmtId="165" fontId="5" fillId="6" borderId="1" applyAlignment="1" applyProtection="1" pivotButton="0" quotePrefix="0" xfId="0">
      <alignment horizontal="center" vertical="center" wrapText="1"/>
      <protection locked="0" hidden="0"/>
    </xf>
    <xf numFmtId="164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7" borderId="1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Calibri"/>
        <b val="1"/>
        <color rgb="0027AE60"/>
        <sz val="11"/>
      </font>
      <fill>
        <patternFill patternType="solid">
          <fgColor rgb="00EAFAF1"/>
          <bgColor rgb="00EAFA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Buyer Equity vs Renter Investments</a:t>
            </a:r>
          </a:p>
        </rich>
      </tx>
    </title>
    <plotArea>
      <lineChart>
        <grouping val="standard"/>
        <ser>
          <idx val="0"/>
          <order val="0"/>
          <tx>
            <strRef>
              <f>'Year-by-Year'!E5</f>
            </strRef>
          </tx>
          <spPr>
            <a:ln xmlns:a="http://schemas.openxmlformats.org/drawingml/2006/main" w="28000">
              <a:solidFill>
                <a:srgbClr val="117A6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'Year-by-Year'!$B$6:$B$35</f>
            </numRef>
          </cat>
          <val>
            <numRef>
              <f>'Year-by-Year'!$E$6:$E$35</f>
            </numRef>
          </val>
        </ser>
        <ser>
          <idx val="1"/>
          <order val="1"/>
          <tx>
            <strRef>
              <f>'Year-by-Year'!H5</f>
            </strRef>
          </tx>
          <spPr>
            <a:ln xmlns:a="http://schemas.openxmlformats.org/drawingml/2006/main" w="20000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'Year-by-Year'!$B$6:$B$35</f>
            </numRef>
          </cat>
          <val>
            <numRef>
              <f>'Year-by-Year'!$H$6:$H$35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17A65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8" customWidth="1" min="3" max="3"/>
    <col width="18" customWidth="1" min="4" max="4"/>
    <col width="4" customWidth="1" min="5" max="5"/>
    <col width="36" customWidth="1" min="6" max="6"/>
    <col width="18" customWidth="1" min="7" max="7"/>
    <col width="2" customWidth="1" min="8" max="8"/>
  </cols>
  <sheetData>
    <row r="1" ht="10" customHeight="1">
      <c r="A1" s="1" t="n"/>
      <c r="B1" s="2" t="n"/>
      <c r="H1" s="1" t="n"/>
    </row>
    <row r="2" ht="38" customHeight="1">
      <c r="A2" s="1" t="n"/>
      <c r="B2" s="3" t="inlineStr">
        <is>
          <t>RENT VS BUY CALCULATOR</t>
        </is>
      </c>
      <c r="H2" s="1" t="n"/>
    </row>
    <row r="3" ht="22" customHeight="1">
      <c r="A3" s="1" t="n"/>
      <c r="B3" s="4" t="inlineStr">
        <is>
          <t>Compare renting vs buying. Enter your numbers in the teal cells.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5" t="inlineStr">
        <is>
          <t>PURCHASE DETAILS</t>
        </is>
      </c>
      <c r="C5" s="6" t="n"/>
      <c r="D5" s="6" t="n"/>
      <c r="E5" s="1" t="n"/>
      <c r="F5" s="7" t="inlineStr">
        <is>
          <t>RESULTS</t>
        </is>
      </c>
      <c r="G5" s="8" t="n"/>
      <c r="H5" s="1" t="n"/>
    </row>
    <row r="6">
      <c r="A6" s="1" t="n"/>
      <c r="B6" s="9" t="inlineStr">
        <is>
          <t>Home Purchase Price</t>
        </is>
      </c>
      <c r="C6" s="10" t="n">
        <v>400000</v>
      </c>
      <c r="D6" s="1" t="n"/>
      <c r="E6" s="1" t="n"/>
      <c r="F6" s="9" t="inlineStr">
        <is>
          <t>Loan Amount</t>
        </is>
      </c>
      <c r="G6" s="11">
        <f>C6*(1-C7)</f>
        <v/>
      </c>
      <c r="H6" s="1" t="n"/>
    </row>
    <row r="7">
      <c r="A7" s="1" t="n"/>
      <c r="B7" s="9" t="inlineStr">
        <is>
          <t>Down Payment %</t>
        </is>
      </c>
      <c r="C7" s="12" t="n">
        <v>0.2</v>
      </c>
      <c r="D7" s="1" t="n"/>
      <c r="E7" s="1" t="n"/>
      <c r="F7" s="9" t="inlineStr">
        <is>
          <t>Monthly P&amp;I</t>
        </is>
      </c>
      <c r="G7" s="13">
        <f>IF(C8&gt;0,PMT(C8/12,C9*12,-G6),0)</f>
        <v/>
      </c>
      <c r="H7" s="1" t="n"/>
    </row>
    <row r="8">
      <c r="A8" s="1" t="n"/>
      <c r="B8" s="9" t="inlineStr">
        <is>
          <t>Mortgage Interest Rate</t>
        </is>
      </c>
      <c r="C8" s="14" t="n">
        <v>0.065</v>
      </c>
      <c r="D8" s="1" t="n"/>
      <c r="E8" s="1" t="n"/>
      <c r="F8" s="9" t="inlineStr">
        <is>
          <t>Down Payment</t>
        </is>
      </c>
      <c r="G8" s="11">
        <f>C6*C7</f>
        <v/>
      </c>
      <c r="H8" s="1" t="n"/>
    </row>
    <row r="9">
      <c r="A9" s="1" t="n"/>
      <c r="B9" s="9" t="inlineStr">
        <is>
          <t>Mortgage Term (years)</t>
        </is>
      </c>
      <c r="C9" s="15" t="n">
        <v>30</v>
      </c>
      <c r="D9" s="1" t="n"/>
      <c r="E9" s="1" t="n"/>
      <c r="F9" s="9" t="inlineStr">
        <is>
          <t>Closing Costs</t>
        </is>
      </c>
      <c r="G9" s="11">
        <f>C6*C20</f>
        <v/>
      </c>
      <c r="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1" t="n"/>
      <c r="B11" s="5" t="inlineStr">
        <is>
          <t>RENTING</t>
        </is>
      </c>
      <c r="C11" s="6" t="n"/>
      <c r="D11" s="6" t="n"/>
      <c r="E11" s="1" t="n"/>
      <c r="F11" s="9" t="inlineStr">
        <is>
          <t>Monthly Tax+Ins+HOA+Maint</t>
        </is>
      </c>
      <c r="G11" s="11">
        <f>C6*C16/12+C17/12+C18+C6*C19/12</f>
        <v/>
      </c>
      <c r="H11" s="1" t="n"/>
    </row>
    <row r="12">
      <c r="A12" s="1" t="n"/>
      <c r="B12" s="9" t="inlineStr">
        <is>
          <t>Monthly Rent</t>
        </is>
      </c>
      <c r="C12" s="10" t="n">
        <v>2000</v>
      </c>
      <c r="D12" s="1" t="n"/>
      <c r="E12" s="1" t="n"/>
      <c r="F12" s="9" t="inlineStr">
        <is>
          <t>Total Monthly (Buy)</t>
        </is>
      </c>
      <c r="G12" s="13">
        <f>G7+G11</f>
        <v/>
      </c>
      <c r="H12" s="1" t="n"/>
    </row>
    <row r="13">
      <c r="A13" s="1" t="n"/>
      <c r="B13" s="9" t="inlineStr">
        <is>
          <t>Annual Rent Increase %</t>
        </is>
      </c>
      <c r="C13" s="16" t="n">
        <v>0.03</v>
      </c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5" t="inlineStr">
        <is>
          <t>VERDICT</t>
        </is>
      </c>
      <c r="G14" s="6" t="n"/>
      <c r="H14" s="1" t="n"/>
    </row>
    <row r="15">
      <c r="A15" s="1" t="n"/>
      <c r="B15" s="5" t="inlineStr">
        <is>
          <t>OWNERSHIP COSTS</t>
        </is>
      </c>
      <c r="C15" s="6" t="n"/>
      <c r="D15" s="6" t="n"/>
      <c r="E15" s="1" t="n"/>
      <c r="F15" s="17">
        <f>'Year-by-Year'!K40</f>
        <v/>
      </c>
      <c r="G15" s="8" t="n"/>
      <c r="H15" s="1" t="n"/>
    </row>
    <row r="16">
      <c r="A16" s="1" t="n"/>
      <c r="B16" s="9" t="inlineStr">
        <is>
          <t>Property Tax Rate %</t>
        </is>
      </c>
      <c r="C16" s="14" t="n">
        <v>0.012</v>
      </c>
      <c r="D16" s="1" t="n"/>
      <c r="E16" s="1" t="n"/>
      <c r="F16" s="8" t="n"/>
      <c r="G16" s="8" t="n"/>
      <c r="H16" s="1" t="n"/>
    </row>
    <row r="17">
      <c r="A17" s="1" t="n"/>
      <c r="B17" s="9" t="inlineStr">
        <is>
          <t>Home Insurance ($/year)</t>
        </is>
      </c>
      <c r="C17" s="10" t="n">
        <v>1500</v>
      </c>
      <c r="D17" s="1" t="n"/>
      <c r="E17" s="1" t="n"/>
      <c r="F17" s="8" t="n"/>
      <c r="G17" s="8" t="n"/>
      <c r="H17" s="1" t="n"/>
    </row>
    <row r="18">
      <c r="A18" s="1" t="n"/>
      <c r="B18" s="9" t="inlineStr">
        <is>
          <t>HOA Fees ($/month)</t>
        </is>
      </c>
      <c r="C18" s="10" t="n">
        <v>0</v>
      </c>
      <c r="D18" s="1" t="n"/>
      <c r="E18" s="1" t="n"/>
      <c r="F18" s="8" t="n"/>
      <c r="G18" s="8" t="n"/>
      <c r="H18" s="1" t="n"/>
    </row>
    <row r="19">
      <c r="A19" s="1" t="n"/>
      <c r="B19" s="9" t="inlineStr">
        <is>
          <t>Maintenance % of value/year</t>
        </is>
      </c>
      <c r="C19" s="16" t="n">
        <v>0.01</v>
      </c>
      <c r="D19" s="1" t="n"/>
      <c r="E19" s="1" t="n"/>
      <c r="F19" s="1" t="n"/>
      <c r="G19" s="1" t="n"/>
      <c r="H19" s="1" t="n"/>
    </row>
    <row r="20">
      <c r="A20" s="1" t="n"/>
      <c r="B20" s="9" t="inlineStr">
        <is>
          <t>Closing Costs %</t>
        </is>
      </c>
      <c r="C20" s="16" t="n">
        <v>0.03</v>
      </c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5" t="inlineStr">
        <is>
          <t>MONTHLY COMPARISON</t>
        </is>
      </c>
      <c r="G21" s="6" t="n"/>
      <c r="H21" s="1" t="n"/>
    </row>
    <row r="22">
      <c r="A22" s="1" t="n"/>
      <c r="B22" s="5" t="inlineStr">
        <is>
          <t>ASSUMPTIONS</t>
        </is>
      </c>
      <c r="C22" s="6" t="n"/>
      <c r="D22" s="6" t="n"/>
      <c r="E22" s="1" t="n"/>
      <c r="F22" s="9" t="inlineStr">
        <is>
          <t>Buy (total)</t>
        </is>
      </c>
      <c r="G22" s="11">
        <f>G12</f>
        <v/>
      </c>
      <c r="H22" s="1" t="n"/>
    </row>
    <row r="23">
      <c r="A23" s="1" t="n"/>
      <c r="B23" s="9" t="inlineStr">
        <is>
          <t>Home Appreciation Rate %</t>
        </is>
      </c>
      <c r="C23" s="16" t="n">
        <v>0.035</v>
      </c>
      <c r="D23" s="1" t="n"/>
      <c r="E23" s="1" t="n"/>
      <c r="F23" s="9" t="inlineStr">
        <is>
          <t>Rent (year 1)</t>
        </is>
      </c>
      <c r="G23" s="11">
        <f>C12</f>
        <v/>
      </c>
      <c r="H23" s="1" t="n"/>
    </row>
    <row r="24">
      <c r="A24" s="1" t="n"/>
      <c r="B24" s="9" t="inlineStr">
        <is>
          <t>Investment Return %</t>
        </is>
      </c>
      <c r="C24" s="16" t="n">
        <v>0.07000000000000001</v>
      </c>
      <c r="D24" s="18" t="inlineStr">
        <is>
          <t>opportunity cost</t>
        </is>
      </c>
      <c r="E24" s="1" t="n"/>
      <c r="F24" s="1" t="n"/>
      <c r="G24" s="1" t="n"/>
      <c r="H24" s="1" t="n"/>
    </row>
    <row r="25">
      <c r="A25" s="1" t="n"/>
      <c r="B25" s="9" t="inlineStr">
        <is>
          <t>Income Tax Bracket %</t>
        </is>
      </c>
      <c r="C25" s="16" t="n">
        <v>0.24</v>
      </c>
      <c r="D25" s="18" t="inlineStr">
        <is>
          <t>for mortgage deduction</t>
        </is>
      </c>
      <c r="E25" s="1" t="n"/>
      <c r="F25" s="1" t="n"/>
      <c r="G25" s="1" t="n"/>
      <c r="H25" s="1" t="n"/>
    </row>
    <row r="26">
      <c r="A26" s="1" t="n"/>
      <c r="B26" s="9" t="inlineStr">
        <is>
          <t>Years to Compare</t>
        </is>
      </c>
      <c r="C26" s="15" t="n">
        <v>10</v>
      </c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11">
    <mergeCell ref="B3:G3"/>
    <mergeCell ref="B2:G2"/>
    <mergeCell ref="B11:D11"/>
    <mergeCell ref="F21:G21"/>
    <mergeCell ref="B5:D5"/>
    <mergeCell ref="F15:G18"/>
    <mergeCell ref="B22:D22"/>
    <mergeCell ref="F5:G5"/>
    <mergeCell ref="B1:G1"/>
    <mergeCell ref="F14:G14"/>
    <mergeCell ref="B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BC9C"/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28" customWidth="1" min="12" max="12"/>
  </cols>
  <sheetData>
    <row r="1" ht="10" customHeight="1">
      <c r="A1" s="1" t="n"/>
      <c r="B1" s="2" t="n"/>
      <c r="L1" s="1" t="n"/>
    </row>
    <row r="2" ht="38" customHeight="1">
      <c r="A2" s="1" t="n"/>
      <c r="B2" s="3" t="inlineStr">
        <is>
          <t>YEAR-BY-YEAR COMPARISON</t>
        </is>
      </c>
      <c r="L2" s="1" t="n"/>
    </row>
    <row r="3">
      <c r="A3" s="1" t="n"/>
      <c r="B3" s="4" t="inlineStr">
        <is>
          <t>30-year projection. Buyer equity vs Renter investments.</t>
        </is>
      </c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n"/>
      <c r="B5" s="19" t="inlineStr">
        <is>
          <t>Year</t>
        </is>
      </c>
      <c r="C5" s="19" t="inlineStr">
        <is>
          <t>Home Value</t>
        </is>
      </c>
      <c r="D5" s="19" t="inlineStr">
        <is>
          <t>Mortgage Bal</t>
        </is>
      </c>
      <c r="E5" s="19" t="inlineStr">
        <is>
          <t>Buyer Equity</t>
        </is>
      </c>
      <c r="F5" s="19" t="inlineStr">
        <is>
          <t>Cum Cost Buy</t>
        </is>
      </c>
      <c r="G5" s="19" t="inlineStr">
        <is>
          <t>Cum Cost Rent</t>
        </is>
      </c>
      <c r="H5" s="19" t="inlineStr">
        <is>
          <t>Renter Inv</t>
        </is>
      </c>
      <c r="I5" s="19" t="inlineStr">
        <is>
          <t>Buy Wins?</t>
        </is>
      </c>
      <c r="J5" s="19" t="inlineStr">
        <is>
          <t>Verdict</t>
        </is>
      </c>
      <c r="K5" s="1" t="n"/>
      <c r="L5" s="1" t="n"/>
    </row>
    <row r="6" ht="20" customHeight="1">
      <c r="A6" s="1" t="n"/>
      <c r="B6" s="20" t="n">
        <v>1</v>
      </c>
      <c r="C6" s="21">
        <f>'Rent vs Buy Calculator'!C6*(1+'Rent vs Buy Calculator'!C23)^1</f>
        <v/>
      </c>
      <c r="D6" s="21">
        <f>MAX(0,FV('Rent vs Buy Calculator'!C8/12,(0+1)*12,-'Rent vs Buy Calculator'!G7,'Rent vs Buy Calculator'!G6))</f>
        <v/>
      </c>
      <c r="E6" s="22">
        <f>C6-D6</f>
        <v/>
      </c>
      <c r="F6" s="23">
        <f>'Rent vs Buy Calculator'!G8+'Rent vs Buy Calculator'!G9+'Rent vs Buy Calculator'!G7*12+'Rent vs Buy Calculator'!C6*'Rent vs Buy Calculator'!C16+'Rent vs Buy Calculator'!C17+'Rent vs Buy Calculator'!C18*12+'Rent vs Buy Calculator'!C6*'Rent vs Buy Calculator'!C19-CUMIPMT('Rent vs Buy Calculator'!C8/12,'Rent vs Buy Calculator'!C9*12,'Rent vs Buy Calculator'!G6,1,12,0)*'Rent vs Buy Calculator'!C25</f>
        <v/>
      </c>
      <c r="G6" s="21">
        <f>'Rent vs Buy Calculator'!C12*12</f>
        <v/>
      </c>
      <c r="H6" s="21">
        <f>'Rent vs Buy Calculator'!G8*(1+'Rent vs Buy Calculator'!C24)^1</f>
        <v/>
      </c>
      <c r="I6" s="24">
        <f>IF(E6&gt;H6,1,0)</f>
        <v/>
      </c>
      <c r="J6" s="25">
        <f>IF(E6&gt;H6,"Buy wins","Rent wins")</f>
        <v/>
      </c>
      <c r="K6" s="1" t="n"/>
      <c r="L6" s="1" t="n"/>
    </row>
    <row r="7" ht="20" customHeight="1">
      <c r="A7" s="1" t="n"/>
      <c r="B7" s="20" t="n">
        <v>2</v>
      </c>
      <c r="C7" s="26">
        <f>'Rent vs Buy Calculator'!C6*(1+'Rent vs Buy Calculator'!C23)^2</f>
        <v/>
      </c>
      <c r="D7" s="26">
        <f>MAX(0,FV('Rent vs Buy Calculator'!C8/12,(1+1)*12,-'Rent vs Buy Calculator'!G7,'Rent vs Buy Calculator'!G6))</f>
        <v/>
      </c>
      <c r="E7" s="27">
        <f>C7-D7</f>
        <v/>
      </c>
      <c r="F7" s="28">
        <f>F6+'Rent vs Buy Calculator'!G7*12+'Rent vs Buy Calculator'!C6*(1+'Rent vs Buy Calculator'!C23)^1*'Rent vs Buy Calculator'!C16+'Rent vs Buy Calculator'!C17+'Rent vs Buy Calculator'!C18*12+'Rent vs Buy Calculator'!C6*(1+'Rent vs Buy Calculator'!C23)^1*'Rent vs Buy Calculator'!C19-CUMIPMT('Rent vs Buy Calculator'!C8/12,'Rent vs Buy Calculator'!C9*12,'Rent vs Buy Calculator'!G6,13,24,0)*'Rent vs Buy Calculator'!C25</f>
        <v/>
      </c>
      <c r="G7" s="26">
        <f>G6+'Rent vs Buy Calculator'!C12*12*(1+'Rent vs Buy Calculator'!C13)^1</f>
        <v/>
      </c>
      <c r="H7" s="26">
        <f>'Rent vs Buy Calculator'!G8*(1+'Rent vs Buy Calculator'!C24)^2</f>
        <v/>
      </c>
      <c r="I7" s="29">
        <f>IF(E7&gt;H7,1,0)</f>
        <v/>
      </c>
      <c r="J7" s="30">
        <f>IF(E7&gt;H7,"Buy wins","Rent wins")</f>
        <v/>
      </c>
      <c r="K7" s="1" t="n"/>
      <c r="L7" s="1" t="n"/>
    </row>
    <row r="8" ht="20" customHeight="1">
      <c r="A8" s="1" t="n"/>
      <c r="B8" s="20" t="n">
        <v>3</v>
      </c>
      <c r="C8" s="21">
        <f>'Rent vs Buy Calculator'!C6*(1+'Rent vs Buy Calculator'!C23)^3</f>
        <v/>
      </c>
      <c r="D8" s="21">
        <f>MAX(0,FV('Rent vs Buy Calculator'!C8/12,(2+1)*12,-'Rent vs Buy Calculator'!G7,'Rent vs Buy Calculator'!G6))</f>
        <v/>
      </c>
      <c r="E8" s="22">
        <f>C8-D8</f>
        <v/>
      </c>
      <c r="F8" s="23">
        <f>F7+'Rent vs Buy Calculator'!G7*12+'Rent vs Buy Calculator'!C6*(1+'Rent vs Buy Calculator'!C23)^2*'Rent vs Buy Calculator'!C16+'Rent vs Buy Calculator'!C17+'Rent vs Buy Calculator'!C18*12+'Rent vs Buy Calculator'!C6*(1+'Rent vs Buy Calculator'!C23)^2*'Rent vs Buy Calculator'!C19-CUMIPMT('Rent vs Buy Calculator'!C8/12,'Rent vs Buy Calculator'!C9*12,'Rent vs Buy Calculator'!G6,25,36,0)*'Rent vs Buy Calculator'!C25</f>
        <v/>
      </c>
      <c r="G8" s="21">
        <f>G7+'Rent vs Buy Calculator'!C12*12*(1+'Rent vs Buy Calculator'!C13)^2</f>
        <v/>
      </c>
      <c r="H8" s="21">
        <f>'Rent vs Buy Calculator'!G8*(1+'Rent vs Buy Calculator'!C24)^3</f>
        <v/>
      </c>
      <c r="I8" s="24">
        <f>IF(E8&gt;H8,1,0)</f>
        <v/>
      </c>
      <c r="J8" s="25">
        <f>IF(E8&gt;H8,"Buy wins","Rent wins")</f>
        <v/>
      </c>
      <c r="K8" s="1" t="n"/>
      <c r="L8" s="1" t="n"/>
    </row>
    <row r="9" ht="20" customHeight="1">
      <c r="A9" s="1" t="n"/>
      <c r="B9" s="20" t="n">
        <v>4</v>
      </c>
      <c r="C9" s="26">
        <f>'Rent vs Buy Calculator'!C6*(1+'Rent vs Buy Calculator'!C23)^4</f>
        <v/>
      </c>
      <c r="D9" s="26">
        <f>MAX(0,FV('Rent vs Buy Calculator'!C8/12,(3+1)*12,-'Rent vs Buy Calculator'!G7,'Rent vs Buy Calculator'!G6))</f>
        <v/>
      </c>
      <c r="E9" s="27">
        <f>C9-D9</f>
        <v/>
      </c>
      <c r="F9" s="28">
        <f>F8+'Rent vs Buy Calculator'!G7*12+'Rent vs Buy Calculator'!C6*(1+'Rent vs Buy Calculator'!C23)^3*'Rent vs Buy Calculator'!C16+'Rent vs Buy Calculator'!C17+'Rent vs Buy Calculator'!C18*12+'Rent vs Buy Calculator'!C6*(1+'Rent vs Buy Calculator'!C23)^3*'Rent vs Buy Calculator'!C19-CUMIPMT('Rent vs Buy Calculator'!C8/12,'Rent vs Buy Calculator'!C9*12,'Rent vs Buy Calculator'!G6,37,48,0)*'Rent vs Buy Calculator'!C25</f>
        <v/>
      </c>
      <c r="G9" s="26">
        <f>G8+'Rent vs Buy Calculator'!C12*12*(1+'Rent vs Buy Calculator'!C13)^3</f>
        <v/>
      </c>
      <c r="H9" s="26">
        <f>'Rent vs Buy Calculator'!G8*(1+'Rent vs Buy Calculator'!C24)^4</f>
        <v/>
      </c>
      <c r="I9" s="29">
        <f>IF(E9&gt;H9,1,0)</f>
        <v/>
      </c>
      <c r="J9" s="30">
        <f>IF(E9&gt;H9,"Buy wins","Rent wins")</f>
        <v/>
      </c>
      <c r="K9" s="1" t="n"/>
      <c r="L9" s="1" t="n"/>
    </row>
    <row r="10" ht="20" customHeight="1">
      <c r="A10" s="1" t="n"/>
      <c r="B10" s="20" t="n">
        <v>5</v>
      </c>
      <c r="C10" s="21">
        <f>'Rent vs Buy Calculator'!C6*(1+'Rent vs Buy Calculator'!C23)^5</f>
        <v/>
      </c>
      <c r="D10" s="21">
        <f>MAX(0,FV('Rent vs Buy Calculator'!C8/12,(4+1)*12,-'Rent vs Buy Calculator'!G7,'Rent vs Buy Calculator'!G6))</f>
        <v/>
      </c>
      <c r="E10" s="22">
        <f>C10-D10</f>
        <v/>
      </c>
      <c r="F10" s="23">
        <f>F9+'Rent vs Buy Calculator'!G7*12+'Rent vs Buy Calculator'!C6*(1+'Rent vs Buy Calculator'!C23)^4*'Rent vs Buy Calculator'!C16+'Rent vs Buy Calculator'!C17+'Rent vs Buy Calculator'!C18*12+'Rent vs Buy Calculator'!C6*(1+'Rent vs Buy Calculator'!C23)^4*'Rent vs Buy Calculator'!C19-CUMIPMT('Rent vs Buy Calculator'!C8/12,'Rent vs Buy Calculator'!C9*12,'Rent vs Buy Calculator'!G6,49,60,0)*'Rent vs Buy Calculator'!C25</f>
        <v/>
      </c>
      <c r="G10" s="21">
        <f>G9+'Rent vs Buy Calculator'!C12*12*(1+'Rent vs Buy Calculator'!C13)^4</f>
        <v/>
      </c>
      <c r="H10" s="21">
        <f>'Rent vs Buy Calculator'!G8*(1+'Rent vs Buy Calculator'!C24)^5</f>
        <v/>
      </c>
      <c r="I10" s="24">
        <f>IF(E10&gt;H10,1,0)</f>
        <v/>
      </c>
      <c r="J10" s="25">
        <f>IF(E10&gt;H10,"Buy wins","Rent wins")</f>
        <v/>
      </c>
      <c r="K10" s="1" t="n"/>
      <c r="L10" s="1" t="n"/>
    </row>
    <row r="11" ht="20" customHeight="1">
      <c r="A11" s="1" t="n"/>
      <c r="B11" s="20" t="n">
        <v>6</v>
      </c>
      <c r="C11" s="26">
        <f>'Rent vs Buy Calculator'!C6*(1+'Rent vs Buy Calculator'!C23)^6</f>
        <v/>
      </c>
      <c r="D11" s="26">
        <f>MAX(0,FV('Rent vs Buy Calculator'!C8/12,(5+1)*12,-'Rent vs Buy Calculator'!G7,'Rent vs Buy Calculator'!G6))</f>
        <v/>
      </c>
      <c r="E11" s="27">
        <f>C11-D11</f>
        <v/>
      </c>
      <c r="F11" s="28">
        <f>F10+'Rent vs Buy Calculator'!G7*12+'Rent vs Buy Calculator'!C6*(1+'Rent vs Buy Calculator'!C23)^5*'Rent vs Buy Calculator'!C16+'Rent vs Buy Calculator'!C17+'Rent vs Buy Calculator'!C18*12+'Rent vs Buy Calculator'!C6*(1+'Rent vs Buy Calculator'!C23)^5*'Rent vs Buy Calculator'!C19-CUMIPMT('Rent vs Buy Calculator'!C8/12,'Rent vs Buy Calculator'!C9*12,'Rent vs Buy Calculator'!G6,61,72,0)*'Rent vs Buy Calculator'!C25</f>
        <v/>
      </c>
      <c r="G11" s="26">
        <f>G10+'Rent vs Buy Calculator'!C12*12*(1+'Rent vs Buy Calculator'!C13)^5</f>
        <v/>
      </c>
      <c r="H11" s="26">
        <f>'Rent vs Buy Calculator'!G8*(1+'Rent vs Buy Calculator'!C24)^6</f>
        <v/>
      </c>
      <c r="I11" s="29">
        <f>IF(E11&gt;H11,1,0)</f>
        <v/>
      </c>
      <c r="J11" s="30">
        <f>IF(E11&gt;H11,"Buy wins","Rent wins")</f>
        <v/>
      </c>
      <c r="K11" s="1" t="n"/>
      <c r="L11" s="1" t="n"/>
    </row>
    <row r="12" ht="20" customHeight="1">
      <c r="A12" s="1" t="n"/>
      <c r="B12" s="20" t="n">
        <v>7</v>
      </c>
      <c r="C12" s="21">
        <f>'Rent vs Buy Calculator'!C6*(1+'Rent vs Buy Calculator'!C23)^7</f>
        <v/>
      </c>
      <c r="D12" s="21">
        <f>MAX(0,FV('Rent vs Buy Calculator'!C8/12,(6+1)*12,-'Rent vs Buy Calculator'!G7,'Rent vs Buy Calculator'!G6))</f>
        <v/>
      </c>
      <c r="E12" s="22">
        <f>C12-D12</f>
        <v/>
      </c>
      <c r="F12" s="23">
        <f>F11+'Rent vs Buy Calculator'!G7*12+'Rent vs Buy Calculator'!C6*(1+'Rent vs Buy Calculator'!C23)^6*'Rent vs Buy Calculator'!C16+'Rent vs Buy Calculator'!C17+'Rent vs Buy Calculator'!C18*12+'Rent vs Buy Calculator'!C6*(1+'Rent vs Buy Calculator'!C23)^6*'Rent vs Buy Calculator'!C19-CUMIPMT('Rent vs Buy Calculator'!C8/12,'Rent vs Buy Calculator'!C9*12,'Rent vs Buy Calculator'!G6,73,84,0)*'Rent vs Buy Calculator'!C25</f>
        <v/>
      </c>
      <c r="G12" s="21">
        <f>G11+'Rent vs Buy Calculator'!C12*12*(1+'Rent vs Buy Calculator'!C13)^6</f>
        <v/>
      </c>
      <c r="H12" s="21">
        <f>'Rent vs Buy Calculator'!G8*(1+'Rent vs Buy Calculator'!C24)^7</f>
        <v/>
      </c>
      <c r="I12" s="24">
        <f>IF(E12&gt;H12,1,0)</f>
        <v/>
      </c>
      <c r="J12" s="25">
        <f>IF(E12&gt;H12,"Buy wins","Rent wins")</f>
        <v/>
      </c>
      <c r="K12" s="1" t="n"/>
      <c r="L12" s="1" t="n"/>
    </row>
    <row r="13" ht="20" customHeight="1">
      <c r="A13" s="1" t="n"/>
      <c r="B13" s="20" t="n">
        <v>8</v>
      </c>
      <c r="C13" s="26">
        <f>'Rent vs Buy Calculator'!C6*(1+'Rent vs Buy Calculator'!C23)^8</f>
        <v/>
      </c>
      <c r="D13" s="26">
        <f>MAX(0,FV('Rent vs Buy Calculator'!C8/12,(7+1)*12,-'Rent vs Buy Calculator'!G7,'Rent vs Buy Calculator'!G6))</f>
        <v/>
      </c>
      <c r="E13" s="27">
        <f>C13-D13</f>
        <v/>
      </c>
      <c r="F13" s="28">
        <f>F12+'Rent vs Buy Calculator'!G7*12+'Rent vs Buy Calculator'!C6*(1+'Rent vs Buy Calculator'!C23)^7*'Rent vs Buy Calculator'!C16+'Rent vs Buy Calculator'!C17+'Rent vs Buy Calculator'!C18*12+'Rent vs Buy Calculator'!C6*(1+'Rent vs Buy Calculator'!C23)^7*'Rent vs Buy Calculator'!C19-CUMIPMT('Rent vs Buy Calculator'!C8/12,'Rent vs Buy Calculator'!C9*12,'Rent vs Buy Calculator'!G6,85,96,0)*'Rent vs Buy Calculator'!C25</f>
        <v/>
      </c>
      <c r="G13" s="26">
        <f>G12+'Rent vs Buy Calculator'!C12*12*(1+'Rent vs Buy Calculator'!C13)^7</f>
        <v/>
      </c>
      <c r="H13" s="26">
        <f>'Rent vs Buy Calculator'!G8*(1+'Rent vs Buy Calculator'!C24)^8</f>
        <v/>
      </c>
      <c r="I13" s="29">
        <f>IF(E13&gt;H13,1,0)</f>
        <v/>
      </c>
      <c r="J13" s="30">
        <f>IF(E13&gt;H13,"Buy wins","Rent wins")</f>
        <v/>
      </c>
      <c r="K13" s="1" t="n"/>
      <c r="L13" s="1" t="n"/>
    </row>
    <row r="14" ht="20" customHeight="1">
      <c r="A14" s="1" t="n"/>
      <c r="B14" s="20" t="n">
        <v>9</v>
      </c>
      <c r="C14" s="21">
        <f>'Rent vs Buy Calculator'!C6*(1+'Rent vs Buy Calculator'!C23)^9</f>
        <v/>
      </c>
      <c r="D14" s="21">
        <f>MAX(0,FV('Rent vs Buy Calculator'!C8/12,(8+1)*12,-'Rent vs Buy Calculator'!G7,'Rent vs Buy Calculator'!G6))</f>
        <v/>
      </c>
      <c r="E14" s="22">
        <f>C14-D14</f>
        <v/>
      </c>
      <c r="F14" s="23">
        <f>F13+'Rent vs Buy Calculator'!G7*12+'Rent vs Buy Calculator'!C6*(1+'Rent vs Buy Calculator'!C23)^8*'Rent vs Buy Calculator'!C16+'Rent vs Buy Calculator'!C17+'Rent vs Buy Calculator'!C18*12+'Rent vs Buy Calculator'!C6*(1+'Rent vs Buy Calculator'!C23)^8*'Rent vs Buy Calculator'!C19-CUMIPMT('Rent vs Buy Calculator'!C8/12,'Rent vs Buy Calculator'!C9*12,'Rent vs Buy Calculator'!G6,97,108,0)*'Rent vs Buy Calculator'!C25</f>
        <v/>
      </c>
      <c r="G14" s="21">
        <f>G13+'Rent vs Buy Calculator'!C12*12*(1+'Rent vs Buy Calculator'!C13)^8</f>
        <v/>
      </c>
      <c r="H14" s="21">
        <f>'Rent vs Buy Calculator'!G8*(1+'Rent vs Buy Calculator'!C24)^9</f>
        <v/>
      </c>
      <c r="I14" s="24">
        <f>IF(E14&gt;H14,1,0)</f>
        <v/>
      </c>
      <c r="J14" s="25">
        <f>IF(E14&gt;H14,"Buy wins","Rent wins")</f>
        <v/>
      </c>
      <c r="K14" s="1" t="n"/>
      <c r="L14" s="1" t="n"/>
    </row>
    <row r="15" ht="20" customHeight="1">
      <c r="A15" s="1" t="n"/>
      <c r="B15" s="20" t="n">
        <v>10</v>
      </c>
      <c r="C15" s="26">
        <f>'Rent vs Buy Calculator'!C6*(1+'Rent vs Buy Calculator'!C23)^10</f>
        <v/>
      </c>
      <c r="D15" s="26">
        <f>MAX(0,FV('Rent vs Buy Calculator'!C8/12,(9+1)*12,-'Rent vs Buy Calculator'!G7,'Rent vs Buy Calculator'!G6))</f>
        <v/>
      </c>
      <c r="E15" s="27">
        <f>C15-D15</f>
        <v/>
      </c>
      <c r="F15" s="28">
        <f>F14+'Rent vs Buy Calculator'!G7*12+'Rent vs Buy Calculator'!C6*(1+'Rent vs Buy Calculator'!C23)^9*'Rent vs Buy Calculator'!C16+'Rent vs Buy Calculator'!C17+'Rent vs Buy Calculator'!C18*12+'Rent vs Buy Calculator'!C6*(1+'Rent vs Buy Calculator'!C23)^9*'Rent vs Buy Calculator'!C19-CUMIPMT('Rent vs Buy Calculator'!C8/12,'Rent vs Buy Calculator'!C9*12,'Rent vs Buy Calculator'!G6,109,120,0)*'Rent vs Buy Calculator'!C25</f>
        <v/>
      </c>
      <c r="G15" s="26">
        <f>G14+'Rent vs Buy Calculator'!C12*12*(1+'Rent vs Buy Calculator'!C13)^9</f>
        <v/>
      </c>
      <c r="H15" s="26">
        <f>'Rent vs Buy Calculator'!G8*(1+'Rent vs Buy Calculator'!C24)^10</f>
        <v/>
      </c>
      <c r="I15" s="29">
        <f>IF(E15&gt;H15,1,0)</f>
        <v/>
      </c>
      <c r="J15" s="30">
        <f>IF(E15&gt;H15,"Buy wins","Rent wins")</f>
        <v/>
      </c>
      <c r="K15" s="1" t="n"/>
      <c r="L15" s="1" t="n"/>
    </row>
    <row r="16" ht="20" customHeight="1">
      <c r="A16" s="1" t="n"/>
      <c r="B16" s="20" t="n">
        <v>11</v>
      </c>
      <c r="C16" s="21">
        <f>'Rent vs Buy Calculator'!C6*(1+'Rent vs Buy Calculator'!C23)^11</f>
        <v/>
      </c>
      <c r="D16" s="21">
        <f>MAX(0,FV('Rent vs Buy Calculator'!C8/12,(10+1)*12,-'Rent vs Buy Calculator'!G7,'Rent vs Buy Calculator'!G6))</f>
        <v/>
      </c>
      <c r="E16" s="22">
        <f>C16-D16</f>
        <v/>
      </c>
      <c r="F16" s="23">
        <f>F15+'Rent vs Buy Calculator'!G7*12+'Rent vs Buy Calculator'!C6*(1+'Rent vs Buy Calculator'!C23)^10*'Rent vs Buy Calculator'!C16+'Rent vs Buy Calculator'!C17+'Rent vs Buy Calculator'!C18*12+'Rent vs Buy Calculator'!C6*(1+'Rent vs Buy Calculator'!C23)^10*'Rent vs Buy Calculator'!C19-CUMIPMT('Rent vs Buy Calculator'!C8/12,'Rent vs Buy Calculator'!C9*12,'Rent vs Buy Calculator'!G6,121,132,0)*'Rent vs Buy Calculator'!C25</f>
        <v/>
      </c>
      <c r="G16" s="21">
        <f>G15+'Rent vs Buy Calculator'!C12*12*(1+'Rent vs Buy Calculator'!C13)^10</f>
        <v/>
      </c>
      <c r="H16" s="21">
        <f>'Rent vs Buy Calculator'!G8*(1+'Rent vs Buy Calculator'!C24)^11</f>
        <v/>
      </c>
      <c r="I16" s="24">
        <f>IF(E16&gt;H16,1,0)</f>
        <v/>
      </c>
      <c r="J16" s="25">
        <f>IF(E16&gt;H16,"Buy wins","Rent wins")</f>
        <v/>
      </c>
      <c r="K16" s="1" t="n"/>
      <c r="L16" s="1" t="n"/>
    </row>
    <row r="17" ht="20" customHeight="1">
      <c r="A17" s="1" t="n"/>
      <c r="B17" s="20" t="n">
        <v>12</v>
      </c>
      <c r="C17" s="26">
        <f>'Rent vs Buy Calculator'!C6*(1+'Rent vs Buy Calculator'!C23)^12</f>
        <v/>
      </c>
      <c r="D17" s="26">
        <f>MAX(0,FV('Rent vs Buy Calculator'!C8/12,(11+1)*12,-'Rent vs Buy Calculator'!G7,'Rent vs Buy Calculator'!G6))</f>
        <v/>
      </c>
      <c r="E17" s="27">
        <f>C17-D17</f>
        <v/>
      </c>
      <c r="F17" s="28">
        <f>F16+'Rent vs Buy Calculator'!G7*12+'Rent vs Buy Calculator'!C6*(1+'Rent vs Buy Calculator'!C23)^11*'Rent vs Buy Calculator'!C16+'Rent vs Buy Calculator'!C17+'Rent vs Buy Calculator'!C18*12+'Rent vs Buy Calculator'!C6*(1+'Rent vs Buy Calculator'!C23)^11*'Rent vs Buy Calculator'!C19-CUMIPMT('Rent vs Buy Calculator'!C8/12,'Rent vs Buy Calculator'!C9*12,'Rent vs Buy Calculator'!G6,133,144,0)*'Rent vs Buy Calculator'!C25</f>
        <v/>
      </c>
      <c r="G17" s="26">
        <f>G16+'Rent vs Buy Calculator'!C12*12*(1+'Rent vs Buy Calculator'!C13)^11</f>
        <v/>
      </c>
      <c r="H17" s="26">
        <f>'Rent vs Buy Calculator'!G8*(1+'Rent vs Buy Calculator'!C24)^12</f>
        <v/>
      </c>
      <c r="I17" s="29">
        <f>IF(E17&gt;H17,1,0)</f>
        <v/>
      </c>
      <c r="J17" s="30">
        <f>IF(E17&gt;H17,"Buy wins","Rent wins")</f>
        <v/>
      </c>
      <c r="K17" s="1" t="n"/>
      <c r="L17" s="1" t="n"/>
    </row>
    <row r="18" ht="20" customHeight="1">
      <c r="A18" s="1" t="n"/>
      <c r="B18" s="20" t="n">
        <v>13</v>
      </c>
      <c r="C18" s="21">
        <f>'Rent vs Buy Calculator'!C6*(1+'Rent vs Buy Calculator'!C23)^13</f>
        <v/>
      </c>
      <c r="D18" s="21">
        <f>MAX(0,FV('Rent vs Buy Calculator'!C8/12,(12+1)*12,-'Rent vs Buy Calculator'!G7,'Rent vs Buy Calculator'!G6))</f>
        <v/>
      </c>
      <c r="E18" s="22">
        <f>C18-D18</f>
        <v/>
      </c>
      <c r="F18" s="23">
        <f>F17+'Rent vs Buy Calculator'!G7*12+'Rent vs Buy Calculator'!C6*(1+'Rent vs Buy Calculator'!C23)^12*'Rent vs Buy Calculator'!C16+'Rent vs Buy Calculator'!C17+'Rent vs Buy Calculator'!C18*12+'Rent vs Buy Calculator'!C6*(1+'Rent vs Buy Calculator'!C23)^12*'Rent vs Buy Calculator'!C19-CUMIPMT('Rent vs Buy Calculator'!C8/12,'Rent vs Buy Calculator'!C9*12,'Rent vs Buy Calculator'!G6,145,156,0)*'Rent vs Buy Calculator'!C25</f>
        <v/>
      </c>
      <c r="G18" s="21">
        <f>G17+'Rent vs Buy Calculator'!C12*12*(1+'Rent vs Buy Calculator'!C13)^12</f>
        <v/>
      </c>
      <c r="H18" s="21">
        <f>'Rent vs Buy Calculator'!G8*(1+'Rent vs Buy Calculator'!C24)^13</f>
        <v/>
      </c>
      <c r="I18" s="24">
        <f>IF(E18&gt;H18,1,0)</f>
        <v/>
      </c>
      <c r="J18" s="25">
        <f>IF(E18&gt;H18,"Buy wins","Rent wins")</f>
        <v/>
      </c>
      <c r="K18" s="1" t="n"/>
      <c r="L18" s="1" t="n"/>
    </row>
    <row r="19" ht="20" customHeight="1">
      <c r="A19" s="1" t="n"/>
      <c r="B19" s="20" t="n">
        <v>14</v>
      </c>
      <c r="C19" s="26">
        <f>'Rent vs Buy Calculator'!C6*(1+'Rent vs Buy Calculator'!C23)^14</f>
        <v/>
      </c>
      <c r="D19" s="26">
        <f>MAX(0,FV('Rent vs Buy Calculator'!C8/12,(13+1)*12,-'Rent vs Buy Calculator'!G7,'Rent vs Buy Calculator'!G6))</f>
        <v/>
      </c>
      <c r="E19" s="27">
        <f>C19-D19</f>
        <v/>
      </c>
      <c r="F19" s="28">
        <f>F18+'Rent vs Buy Calculator'!G7*12+'Rent vs Buy Calculator'!C6*(1+'Rent vs Buy Calculator'!C23)^13*'Rent vs Buy Calculator'!C16+'Rent vs Buy Calculator'!C17+'Rent vs Buy Calculator'!C18*12+'Rent vs Buy Calculator'!C6*(1+'Rent vs Buy Calculator'!C23)^13*'Rent vs Buy Calculator'!C19-CUMIPMT('Rent vs Buy Calculator'!C8/12,'Rent vs Buy Calculator'!C9*12,'Rent vs Buy Calculator'!G6,157,168,0)*'Rent vs Buy Calculator'!C25</f>
        <v/>
      </c>
      <c r="G19" s="26">
        <f>G18+'Rent vs Buy Calculator'!C12*12*(1+'Rent vs Buy Calculator'!C13)^13</f>
        <v/>
      </c>
      <c r="H19" s="26">
        <f>'Rent vs Buy Calculator'!G8*(1+'Rent vs Buy Calculator'!C24)^14</f>
        <v/>
      </c>
      <c r="I19" s="29">
        <f>IF(E19&gt;H19,1,0)</f>
        <v/>
      </c>
      <c r="J19" s="30">
        <f>IF(E19&gt;H19,"Buy wins","Rent wins")</f>
        <v/>
      </c>
      <c r="K19" s="1" t="n"/>
      <c r="L19" s="1" t="n"/>
    </row>
    <row r="20" ht="20" customHeight="1">
      <c r="A20" s="1" t="n"/>
      <c r="B20" s="20" t="n">
        <v>15</v>
      </c>
      <c r="C20" s="21">
        <f>'Rent vs Buy Calculator'!C6*(1+'Rent vs Buy Calculator'!C23)^15</f>
        <v/>
      </c>
      <c r="D20" s="21">
        <f>MAX(0,FV('Rent vs Buy Calculator'!C8/12,(14+1)*12,-'Rent vs Buy Calculator'!G7,'Rent vs Buy Calculator'!G6))</f>
        <v/>
      </c>
      <c r="E20" s="22">
        <f>C20-D20</f>
        <v/>
      </c>
      <c r="F20" s="23">
        <f>F19+'Rent vs Buy Calculator'!G7*12+'Rent vs Buy Calculator'!C6*(1+'Rent vs Buy Calculator'!C23)^14*'Rent vs Buy Calculator'!C16+'Rent vs Buy Calculator'!C17+'Rent vs Buy Calculator'!C18*12+'Rent vs Buy Calculator'!C6*(1+'Rent vs Buy Calculator'!C23)^14*'Rent vs Buy Calculator'!C19-CUMIPMT('Rent vs Buy Calculator'!C8/12,'Rent vs Buy Calculator'!C9*12,'Rent vs Buy Calculator'!G6,169,180,0)*'Rent vs Buy Calculator'!C25</f>
        <v/>
      </c>
      <c r="G20" s="21">
        <f>G19+'Rent vs Buy Calculator'!C12*12*(1+'Rent vs Buy Calculator'!C13)^14</f>
        <v/>
      </c>
      <c r="H20" s="21">
        <f>'Rent vs Buy Calculator'!G8*(1+'Rent vs Buy Calculator'!C24)^15</f>
        <v/>
      </c>
      <c r="I20" s="24">
        <f>IF(E20&gt;H20,1,0)</f>
        <v/>
      </c>
      <c r="J20" s="25">
        <f>IF(E20&gt;H20,"Buy wins","Rent wins")</f>
        <v/>
      </c>
      <c r="K20" s="1" t="n"/>
      <c r="L20" s="1" t="n"/>
    </row>
    <row r="21" ht="20" customHeight="1">
      <c r="A21" s="1" t="n"/>
      <c r="B21" s="20" t="n">
        <v>16</v>
      </c>
      <c r="C21" s="26">
        <f>'Rent vs Buy Calculator'!C6*(1+'Rent vs Buy Calculator'!C23)^16</f>
        <v/>
      </c>
      <c r="D21" s="26">
        <f>MAX(0,FV('Rent vs Buy Calculator'!C8/12,(15+1)*12,-'Rent vs Buy Calculator'!G7,'Rent vs Buy Calculator'!G6))</f>
        <v/>
      </c>
      <c r="E21" s="27">
        <f>C21-D21</f>
        <v/>
      </c>
      <c r="F21" s="28">
        <f>F20+'Rent vs Buy Calculator'!G7*12+'Rent vs Buy Calculator'!C6*(1+'Rent vs Buy Calculator'!C23)^15*'Rent vs Buy Calculator'!C16+'Rent vs Buy Calculator'!C17+'Rent vs Buy Calculator'!C18*12+'Rent vs Buy Calculator'!C6*(1+'Rent vs Buy Calculator'!C23)^15*'Rent vs Buy Calculator'!C19-CUMIPMT('Rent vs Buy Calculator'!C8/12,'Rent vs Buy Calculator'!C9*12,'Rent vs Buy Calculator'!G6,181,192,0)*'Rent vs Buy Calculator'!C25</f>
        <v/>
      </c>
      <c r="G21" s="26">
        <f>G20+'Rent vs Buy Calculator'!C12*12*(1+'Rent vs Buy Calculator'!C13)^15</f>
        <v/>
      </c>
      <c r="H21" s="26">
        <f>'Rent vs Buy Calculator'!G8*(1+'Rent vs Buy Calculator'!C24)^16</f>
        <v/>
      </c>
      <c r="I21" s="29">
        <f>IF(E21&gt;H21,1,0)</f>
        <v/>
      </c>
      <c r="J21" s="30">
        <f>IF(E21&gt;H21,"Buy wins","Rent wins")</f>
        <v/>
      </c>
      <c r="K21" s="1" t="n"/>
      <c r="L21" s="1" t="n"/>
    </row>
    <row r="22" ht="20" customHeight="1">
      <c r="A22" s="1" t="n"/>
      <c r="B22" s="20" t="n">
        <v>17</v>
      </c>
      <c r="C22" s="21">
        <f>'Rent vs Buy Calculator'!C6*(1+'Rent vs Buy Calculator'!C23)^17</f>
        <v/>
      </c>
      <c r="D22" s="21">
        <f>MAX(0,FV('Rent vs Buy Calculator'!C8/12,(16+1)*12,-'Rent vs Buy Calculator'!G7,'Rent vs Buy Calculator'!G6))</f>
        <v/>
      </c>
      <c r="E22" s="22">
        <f>C22-D22</f>
        <v/>
      </c>
      <c r="F22" s="23">
        <f>F21+'Rent vs Buy Calculator'!G7*12+'Rent vs Buy Calculator'!C6*(1+'Rent vs Buy Calculator'!C23)^16*'Rent vs Buy Calculator'!C16+'Rent vs Buy Calculator'!C17+'Rent vs Buy Calculator'!C18*12+'Rent vs Buy Calculator'!C6*(1+'Rent vs Buy Calculator'!C23)^16*'Rent vs Buy Calculator'!C19-CUMIPMT('Rent vs Buy Calculator'!C8/12,'Rent vs Buy Calculator'!C9*12,'Rent vs Buy Calculator'!G6,193,204,0)*'Rent vs Buy Calculator'!C25</f>
        <v/>
      </c>
      <c r="G22" s="21">
        <f>G21+'Rent vs Buy Calculator'!C12*12*(1+'Rent vs Buy Calculator'!C13)^16</f>
        <v/>
      </c>
      <c r="H22" s="21">
        <f>'Rent vs Buy Calculator'!G8*(1+'Rent vs Buy Calculator'!C24)^17</f>
        <v/>
      </c>
      <c r="I22" s="24">
        <f>IF(E22&gt;H22,1,0)</f>
        <v/>
      </c>
      <c r="J22" s="25">
        <f>IF(E22&gt;H22,"Buy wins","Rent wins")</f>
        <v/>
      </c>
      <c r="K22" s="1" t="n"/>
      <c r="L22" s="1" t="n"/>
    </row>
    <row r="23" ht="20" customHeight="1">
      <c r="A23" s="1" t="n"/>
      <c r="B23" s="20" t="n">
        <v>18</v>
      </c>
      <c r="C23" s="26">
        <f>'Rent vs Buy Calculator'!C6*(1+'Rent vs Buy Calculator'!C23)^18</f>
        <v/>
      </c>
      <c r="D23" s="26">
        <f>MAX(0,FV('Rent vs Buy Calculator'!C8/12,(17+1)*12,-'Rent vs Buy Calculator'!G7,'Rent vs Buy Calculator'!G6))</f>
        <v/>
      </c>
      <c r="E23" s="27">
        <f>C23-D23</f>
        <v/>
      </c>
      <c r="F23" s="28">
        <f>F22+'Rent vs Buy Calculator'!G7*12+'Rent vs Buy Calculator'!C6*(1+'Rent vs Buy Calculator'!C23)^17*'Rent vs Buy Calculator'!C16+'Rent vs Buy Calculator'!C17+'Rent vs Buy Calculator'!C18*12+'Rent vs Buy Calculator'!C6*(1+'Rent vs Buy Calculator'!C23)^17*'Rent vs Buy Calculator'!C19-CUMIPMT('Rent vs Buy Calculator'!C8/12,'Rent vs Buy Calculator'!C9*12,'Rent vs Buy Calculator'!G6,205,216,0)*'Rent vs Buy Calculator'!C25</f>
        <v/>
      </c>
      <c r="G23" s="26">
        <f>G22+'Rent vs Buy Calculator'!C12*12*(1+'Rent vs Buy Calculator'!C13)^17</f>
        <v/>
      </c>
      <c r="H23" s="26">
        <f>'Rent vs Buy Calculator'!G8*(1+'Rent vs Buy Calculator'!C24)^18</f>
        <v/>
      </c>
      <c r="I23" s="29">
        <f>IF(E23&gt;H23,1,0)</f>
        <v/>
      </c>
      <c r="J23" s="30">
        <f>IF(E23&gt;H23,"Buy wins","Rent wins")</f>
        <v/>
      </c>
      <c r="K23" s="1" t="n"/>
      <c r="L23" s="1" t="n"/>
    </row>
    <row r="24" ht="20" customHeight="1">
      <c r="A24" s="1" t="n"/>
      <c r="B24" s="20" t="n">
        <v>19</v>
      </c>
      <c r="C24" s="21">
        <f>'Rent vs Buy Calculator'!C6*(1+'Rent vs Buy Calculator'!C23)^19</f>
        <v/>
      </c>
      <c r="D24" s="21">
        <f>MAX(0,FV('Rent vs Buy Calculator'!C8/12,(18+1)*12,-'Rent vs Buy Calculator'!G7,'Rent vs Buy Calculator'!G6))</f>
        <v/>
      </c>
      <c r="E24" s="22">
        <f>C24-D24</f>
        <v/>
      </c>
      <c r="F24" s="23">
        <f>F23+'Rent vs Buy Calculator'!G7*12+'Rent vs Buy Calculator'!C6*(1+'Rent vs Buy Calculator'!C23)^18*'Rent vs Buy Calculator'!C16+'Rent vs Buy Calculator'!C17+'Rent vs Buy Calculator'!C18*12+'Rent vs Buy Calculator'!C6*(1+'Rent vs Buy Calculator'!C23)^18*'Rent vs Buy Calculator'!C19-CUMIPMT('Rent vs Buy Calculator'!C8/12,'Rent vs Buy Calculator'!C9*12,'Rent vs Buy Calculator'!G6,217,228,0)*'Rent vs Buy Calculator'!C25</f>
        <v/>
      </c>
      <c r="G24" s="21">
        <f>G23+'Rent vs Buy Calculator'!C12*12*(1+'Rent vs Buy Calculator'!C13)^18</f>
        <v/>
      </c>
      <c r="H24" s="21">
        <f>'Rent vs Buy Calculator'!G8*(1+'Rent vs Buy Calculator'!C24)^19</f>
        <v/>
      </c>
      <c r="I24" s="24">
        <f>IF(E24&gt;H24,1,0)</f>
        <v/>
      </c>
      <c r="J24" s="25">
        <f>IF(E24&gt;H24,"Buy wins","Rent wins")</f>
        <v/>
      </c>
      <c r="K24" s="1" t="n"/>
      <c r="L24" s="1" t="n"/>
    </row>
    <row r="25" ht="20" customHeight="1">
      <c r="A25" s="1" t="n"/>
      <c r="B25" s="20" t="n">
        <v>20</v>
      </c>
      <c r="C25" s="26">
        <f>'Rent vs Buy Calculator'!C6*(1+'Rent vs Buy Calculator'!C23)^20</f>
        <v/>
      </c>
      <c r="D25" s="26">
        <f>MAX(0,FV('Rent vs Buy Calculator'!C8/12,(19+1)*12,-'Rent vs Buy Calculator'!G7,'Rent vs Buy Calculator'!G6))</f>
        <v/>
      </c>
      <c r="E25" s="27">
        <f>C25-D25</f>
        <v/>
      </c>
      <c r="F25" s="28">
        <f>F24+'Rent vs Buy Calculator'!G7*12+'Rent vs Buy Calculator'!C6*(1+'Rent vs Buy Calculator'!C23)^19*'Rent vs Buy Calculator'!C16+'Rent vs Buy Calculator'!C17+'Rent vs Buy Calculator'!C18*12+'Rent vs Buy Calculator'!C6*(1+'Rent vs Buy Calculator'!C23)^19*'Rent vs Buy Calculator'!C19-CUMIPMT('Rent vs Buy Calculator'!C8/12,'Rent vs Buy Calculator'!C9*12,'Rent vs Buy Calculator'!G6,229,240,0)*'Rent vs Buy Calculator'!C25</f>
        <v/>
      </c>
      <c r="G25" s="26">
        <f>G24+'Rent vs Buy Calculator'!C12*12*(1+'Rent vs Buy Calculator'!C13)^19</f>
        <v/>
      </c>
      <c r="H25" s="26">
        <f>'Rent vs Buy Calculator'!G8*(1+'Rent vs Buy Calculator'!C24)^20</f>
        <v/>
      </c>
      <c r="I25" s="29">
        <f>IF(E25&gt;H25,1,0)</f>
        <v/>
      </c>
      <c r="J25" s="30">
        <f>IF(E25&gt;H25,"Buy wins","Rent wins")</f>
        <v/>
      </c>
      <c r="K25" s="1" t="n"/>
      <c r="L25" s="1" t="n"/>
    </row>
    <row r="26" ht="20" customHeight="1">
      <c r="A26" s="1" t="n"/>
      <c r="B26" s="20" t="n">
        <v>21</v>
      </c>
      <c r="C26" s="21">
        <f>'Rent vs Buy Calculator'!C6*(1+'Rent vs Buy Calculator'!C23)^21</f>
        <v/>
      </c>
      <c r="D26" s="21">
        <f>MAX(0,FV('Rent vs Buy Calculator'!C8/12,(20+1)*12,-'Rent vs Buy Calculator'!G7,'Rent vs Buy Calculator'!G6))</f>
        <v/>
      </c>
      <c r="E26" s="22">
        <f>C26-D26</f>
        <v/>
      </c>
      <c r="F26" s="23">
        <f>F25+'Rent vs Buy Calculator'!G7*12+'Rent vs Buy Calculator'!C6*(1+'Rent vs Buy Calculator'!C23)^20*'Rent vs Buy Calculator'!C16+'Rent vs Buy Calculator'!C17+'Rent vs Buy Calculator'!C18*12+'Rent vs Buy Calculator'!C6*(1+'Rent vs Buy Calculator'!C23)^20*'Rent vs Buy Calculator'!C19-CUMIPMT('Rent vs Buy Calculator'!C8/12,'Rent vs Buy Calculator'!C9*12,'Rent vs Buy Calculator'!G6,241,252,0)*'Rent vs Buy Calculator'!C25</f>
        <v/>
      </c>
      <c r="G26" s="21">
        <f>G25+'Rent vs Buy Calculator'!C12*12*(1+'Rent vs Buy Calculator'!C13)^20</f>
        <v/>
      </c>
      <c r="H26" s="21">
        <f>'Rent vs Buy Calculator'!G8*(1+'Rent vs Buy Calculator'!C24)^21</f>
        <v/>
      </c>
      <c r="I26" s="24">
        <f>IF(E26&gt;H26,1,0)</f>
        <v/>
      </c>
      <c r="J26" s="25">
        <f>IF(E26&gt;H26,"Buy wins","Rent wins")</f>
        <v/>
      </c>
      <c r="K26" s="1" t="n"/>
      <c r="L26" s="1" t="n"/>
    </row>
    <row r="27" ht="20" customHeight="1">
      <c r="A27" s="1" t="n"/>
      <c r="B27" s="20" t="n">
        <v>22</v>
      </c>
      <c r="C27" s="26">
        <f>'Rent vs Buy Calculator'!C6*(1+'Rent vs Buy Calculator'!C23)^22</f>
        <v/>
      </c>
      <c r="D27" s="26">
        <f>MAX(0,FV('Rent vs Buy Calculator'!C8/12,(21+1)*12,-'Rent vs Buy Calculator'!G7,'Rent vs Buy Calculator'!G6))</f>
        <v/>
      </c>
      <c r="E27" s="27">
        <f>C27-D27</f>
        <v/>
      </c>
      <c r="F27" s="28">
        <f>F26+'Rent vs Buy Calculator'!G7*12+'Rent vs Buy Calculator'!C6*(1+'Rent vs Buy Calculator'!C23)^21*'Rent vs Buy Calculator'!C16+'Rent vs Buy Calculator'!C17+'Rent vs Buy Calculator'!C18*12+'Rent vs Buy Calculator'!C6*(1+'Rent vs Buy Calculator'!C23)^21*'Rent vs Buy Calculator'!C19-CUMIPMT('Rent vs Buy Calculator'!C8/12,'Rent vs Buy Calculator'!C9*12,'Rent vs Buy Calculator'!G6,253,264,0)*'Rent vs Buy Calculator'!C25</f>
        <v/>
      </c>
      <c r="G27" s="26">
        <f>G26+'Rent vs Buy Calculator'!C12*12*(1+'Rent vs Buy Calculator'!C13)^21</f>
        <v/>
      </c>
      <c r="H27" s="26">
        <f>'Rent vs Buy Calculator'!G8*(1+'Rent vs Buy Calculator'!C24)^22</f>
        <v/>
      </c>
      <c r="I27" s="29">
        <f>IF(E27&gt;H27,1,0)</f>
        <v/>
      </c>
      <c r="J27" s="30">
        <f>IF(E27&gt;H27,"Buy wins","Rent wins")</f>
        <v/>
      </c>
      <c r="K27" s="1" t="n"/>
      <c r="L27" s="1" t="n"/>
    </row>
    <row r="28" ht="20" customHeight="1">
      <c r="A28" s="1" t="n"/>
      <c r="B28" s="20" t="n">
        <v>23</v>
      </c>
      <c r="C28" s="21">
        <f>'Rent vs Buy Calculator'!C6*(1+'Rent vs Buy Calculator'!C23)^23</f>
        <v/>
      </c>
      <c r="D28" s="21">
        <f>MAX(0,FV('Rent vs Buy Calculator'!C8/12,(22+1)*12,-'Rent vs Buy Calculator'!G7,'Rent vs Buy Calculator'!G6))</f>
        <v/>
      </c>
      <c r="E28" s="22">
        <f>C28-D28</f>
        <v/>
      </c>
      <c r="F28" s="23">
        <f>F27+'Rent vs Buy Calculator'!G7*12+'Rent vs Buy Calculator'!C6*(1+'Rent vs Buy Calculator'!C23)^22*'Rent vs Buy Calculator'!C16+'Rent vs Buy Calculator'!C17+'Rent vs Buy Calculator'!C18*12+'Rent vs Buy Calculator'!C6*(1+'Rent vs Buy Calculator'!C23)^22*'Rent vs Buy Calculator'!C19-CUMIPMT('Rent vs Buy Calculator'!C8/12,'Rent vs Buy Calculator'!C9*12,'Rent vs Buy Calculator'!G6,265,276,0)*'Rent vs Buy Calculator'!C25</f>
        <v/>
      </c>
      <c r="G28" s="21">
        <f>G27+'Rent vs Buy Calculator'!C12*12*(1+'Rent vs Buy Calculator'!C13)^22</f>
        <v/>
      </c>
      <c r="H28" s="21">
        <f>'Rent vs Buy Calculator'!G8*(1+'Rent vs Buy Calculator'!C24)^23</f>
        <v/>
      </c>
      <c r="I28" s="24">
        <f>IF(E28&gt;H28,1,0)</f>
        <v/>
      </c>
      <c r="J28" s="25">
        <f>IF(E28&gt;H28,"Buy wins","Rent wins")</f>
        <v/>
      </c>
      <c r="K28" s="1" t="n"/>
      <c r="L28" s="1" t="n"/>
    </row>
    <row r="29" ht="20" customHeight="1">
      <c r="A29" s="1" t="n"/>
      <c r="B29" s="20" t="n">
        <v>24</v>
      </c>
      <c r="C29" s="26">
        <f>'Rent vs Buy Calculator'!C6*(1+'Rent vs Buy Calculator'!C23)^24</f>
        <v/>
      </c>
      <c r="D29" s="26">
        <f>MAX(0,FV('Rent vs Buy Calculator'!C8/12,(23+1)*12,-'Rent vs Buy Calculator'!G7,'Rent vs Buy Calculator'!G6))</f>
        <v/>
      </c>
      <c r="E29" s="27">
        <f>C29-D29</f>
        <v/>
      </c>
      <c r="F29" s="28">
        <f>F28+'Rent vs Buy Calculator'!G7*12+'Rent vs Buy Calculator'!C6*(1+'Rent vs Buy Calculator'!C23)^23*'Rent vs Buy Calculator'!C16+'Rent vs Buy Calculator'!C17+'Rent vs Buy Calculator'!C18*12+'Rent vs Buy Calculator'!C6*(1+'Rent vs Buy Calculator'!C23)^23*'Rent vs Buy Calculator'!C19-CUMIPMT('Rent vs Buy Calculator'!C8/12,'Rent vs Buy Calculator'!C9*12,'Rent vs Buy Calculator'!G6,277,288,0)*'Rent vs Buy Calculator'!C25</f>
        <v/>
      </c>
      <c r="G29" s="26">
        <f>G28+'Rent vs Buy Calculator'!C12*12*(1+'Rent vs Buy Calculator'!C13)^23</f>
        <v/>
      </c>
      <c r="H29" s="26">
        <f>'Rent vs Buy Calculator'!G8*(1+'Rent vs Buy Calculator'!C24)^24</f>
        <v/>
      </c>
      <c r="I29" s="29">
        <f>IF(E29&gt;H29,1,0)</f>
        <v/>
      </c>
      <c r="J29" s="30">
        <f>IF(E29&gt;H29,"Buy wins","Rent wins")</f>
        <v/>
      </c>
      <c r="K29" s="1" t="n"/>
      <c r="L29" s="1" t="n"/>
    </row>
    <row r="30" ht="20" customHeight="1">
      <c r="A30" s="1" t="n"/>
      <c r="B30" s="20" t="n">
        <v>25</v>
      </c>
      <c r="C30" s="21">
        <f>'Rent vs Buy Calculator'!C6*(1+'Rent vs Buy Calculator'!C23)^25</f>
        <v/>
      </c>
      <c r="D30" s="21">
        <f>MAX(0,FV('Rent vs Buy Calculator'!C8/12,(24+1)*12,-'Rent vs Buy Calculator'!G7,'Rent vs Buy Calculator'!G6))</f>
        <v/>
      </c>
      <c r="E30" s="22">
        <f>C30-D30</f>
        <v/>
      </c>
      <c r="F30" s="23">
        <f>F29+'Rent vs Buy Calculator'!G7*12+'Rent vs Buy Calculator'!C6*(1+'Rent vs Buy Calculator'!C23)^24*'Rent vs Buy Calculator'!C16+'Rent vs Buy Calculator'!C17+'Rent vs Buy Calculator'!C18*12+'Rent vs Buy Calculator'!C6*(1+'Rent vs Buy Calculator'!C23)^24*'Rent vs Buy Calculator'!C19-CUMIPMT('Rent vs Buy Calculator'!C8/12,'Rent vs Buy Calculator'!C9*12,'Rent vs Buy Calculator'!G6,289,300,0)*'Rent vs Buy Calculator'!C25</f>
        <v/>
      </c>
      <c r="G30" s="21">
        <f>G29+'Rent vs Buy Calculator'!C12*12*(1+'Rent vs Buy Calculator'!C13)^24</f>
        <v/>
      </c>
      <c r="H30" s="21">
        <f>'Rent vs Buy Calculator'!G8*(1+'Rent vs Buy Calculator'!C24)^25</f>
        <v/>
      </c>
      <c r="I30" s="24">
        <f>IF(E30&gt;H30,1,0)</f>
        <v/>
      </c>
      <c r="J30" s="25">
        <f>IF(E30&gt;H30,"Buy wins","Rent wins")</f>
        <v/>
      </c>
      <c r="K30" s="1" t="n"/>
      <c r="L30" s="1" t="n"/>
    </row>
    <row r="31" ht="20" customHeight="1">
      <c r="A31" s="1" t="n"/>
      <c r="B31" s="20" t="n">
        <v>26</v>
      </c>
      <c r="C31" s="26">
        <f>'Rent vs Buy Calculator'!C6*(1+'Rent vs Buy Calculator'!C23)^26</f>
        <v/>
      </c>
      <c r="D31" s="26">
        <f>MAX(0,FV('Rent vs Buy Calculator'!C8/12,(25+1)*12,-'Rent vs Buy Calculator'!G7,'Rent vs Buy Calculator'!G6))</f>
        <v/>
      </c>
      <c r="E31" s="27">
        <f>C31-D31</f>
        <v/>
      </c>
      <c r="F31" s="28">
        <f>F30+'Rent vs Buy Calculator'!G7*12+'Rent vs Buy Calculator'!C6*(1+'Rent vs Buy Calculator'!C23)^25*'Rent vs Buy Calculator'!C16+'Rent vs Buy Calculator'!C17+'Rent vs Buy Calculator'!C18*12+'Rent vs Buy Calculator'!C6*(1+'Rent vs Buy Calculator'!C23)^25*'Rent vs Buy Calculator'!C19-CUMIPMT('Rent vs Buy Calculator'!C8/12,'Rent vs Buy Calculator'!C9*12,'Rent vs Buy Calculator'!G6,301,312,0)*'Rent vs Buy Calculator'!C25</f>
        <v/>
      </c>
      <c r="G31" s="26">
        <f>G30+'Rent vs Buy Calculator'!C12*12*(1+'Rent vs Buy Calculator'!C13)^25</f>
        <v/>
      </c>
      <c r="H31" s="26">
        <f>'Rent vs Buy Calculator'!G8*(1+'Rent vs Buy Calculator'!C24)^26</f>
        <v/>
      </c>
      <c r="I31" s="29">
        <f>IF(E31&gt;H31,1,0)</f>
        <v/>
      </c>
      <c r="J31" s="30">
        <f>IF(E31&gt;H31,"Buy wins","Rent wins")</f>
        <v/>
      </c>
      <c r="K31" s="1" t="n"/>
      <c r="L31" s="1" t="n"/>
    </row>
    <row r="32" ht="20" customHeight="1">
      <c r="A32" s="1" t="n"/>
      <c r="B32" s="20" t="n">
        <v>27</v>
      </c>
      <c r="C32" s="21">
        <f>'Rent vs Buy Calculator'!C6*(1+'Rent vs Buy Calculator'!C23)^27</f>
        <v/>
      </c>
      <c r="D32" s="21">
        <f>MAX(0,FV('Rent vs Buy Calculator'!C8/12,(26+1)*12,-'Rent vs Buy Calculator'!G7,'Rent vs Buy Calculator'!G6))</f>
        <v/>
      </c>
      <c r="E32" s="22">
        <f>C32-D32</f>
        <v/>
      </c>
      <c r="F32" s="23">
        <f>F31+'Rent vs Buy Calculator'!G7*12+'Rent vs Buy Calculator'!C6*(1+'Rent vs Buy Calculator'!C23)^26*'Rent vs Buy Calculator'!C16+'Rent vs Buy Calculator'!C17+'Rent vs Buy Calculator'!C18*12+'Rent vs Buy Calculator'!C6*(1+'Rent vs Buy Calculator'!C23)^26*'Rent vs Buy Calculator'!C19-CUMIPMT('Rent vs Buy Calculator'!C8/12,'Rent vs Buy Calculator'!C9*12,'Rent vs Buy Calculator'!G6,313,324,0)*'Rent vs Buy Calculator'!C25</f>
        <v/>
      </c>
      <c r="G32" s="21">
        <f>G31+'Rent vs Buy Calculator'!C12*12*(1+'Rent vs Buy Calculator'!C13)^26</f>
        <v/>
      </c>
      <c r="H32" s="21">
        <f>'Rent vs Buy Calculator'!G8*(1+'Rent vs Buy Calculator'!C24)^27</f>
        <v/>
      </c>
      <c r="I32" s="24">
        <f>IF(E32&gt;H32,1,0)</f>
        <v/>
      </c>
      <c r="J32" s="25">
        <f>IF(E32&gt;H32,"Buy wins","Rent wins")</f>
        <v/>
      </c>
      <c r="K32" s="1" t="n"/>
      <c r="L32" s="1" t="n"/>
    </row>
    <row r="33" ht="20" customHeight="1">
      <c r="A33" s="1" t="n"/>
      <c r="B33" s="20" t="n">
        <v>28</v>
      </c>
      <c r="C33" s="26">
        <f>'Rent vs Buy Calculator'!C6*(1+'Rent vs Buy Calculator'!C23)^28</f>
        <v/>
      </c>
      <c r="D33" s="26">
        <f>MAX(0,FV('Rent vs Buy Calculator'!C8/12,(27+1)*12,-'Rent vs Buy Calculator'!G7,'Rent vs Buy Calculator'!G6))</f>
        <v/>
      </c>
      <c r="E33" s="27">
        <f>C33-D33</f>
        <v/>
      </c>
      <c r="F33" s="28">
        <f>F32+'Rent vs Buy Calculator'!G7*12+'Rent vs Buy Calculator'!C6*(1+'Rent vs Buy Calculator'!C23)^27*'Rent vs Buy Calculator'!C16+'Rent vs Buy Calculator'!C17+'Rent vs Buy Calculator'!C18*12+'Rent vs Buy Calculator'!C6*(1+'Rent vs Buy Calculator'!C23)^27*'Rent vs Buy Calculator'!C19-CUMIPMT('Rent vs Buy Calculator'!C8/12,'Rent vs Buy Calculator'!C9*12,'Rent vs Buy Calculator'!G6,325,336,0)*'Rent vs Buy Calculator'!C25</f>
        <v/>
      </c>
      <c r="G33" s="26">
        <f>G32+'Rent vs Buy Calculator'!C12*12*(1+'Rent vs Buy Calculator'!C13)^27</f>
        <v/>
      </c>
      <c r="H33" s="26">
        <f>'Rent vs Buy Calculator'!G8*(1+'Rent vs Buy Calculator'!C24)^28</f>
        <v/>
      </c>
      <c r="I33" s="29">
        <f>IF(E33&gt;H33,1,0)</f>
        <v/>
      </c>
      <c r="J33" s="30">
        <f>IF(E33&gt;H33,"Buy wins","Rent wins")</f>
        <v/>
      </c>
      <c r="K33" s="1" t="n"/>
      <c r="L33" s="1" t="n"/>
    </row>
    <row r="34" ht="20" customHeight="1">
      <c r="A34" s="1" t="n"/>
      <c r="B34" s="20" t="n">
        <v>29</v>
      </c>
      <c r="C34" s="21">
        <f>'Rent vs Buy Calculator'!C6*(1+'Rent vs Buy Calculator'!C23)^29</f>
        <v/>
      </c>
      <c r="D34" s="21">
        <f>MAX(0,FV('Rent vs Buy Calculator'!C8/12,(28+1)*12,-'Rent vs Buy Calculator'!G7,'Rent vs Buy Calculator'!G6))</f>
        <v/>
      </c>
      <c r="E34" s="22">
        <f>C34-D34</f>
        <v/>
      </c>
      <c r="F34" s="23">
        <f>F33+'Rent vs Buy Calculator'!G7*12+'Rent vs Buy Calculator'!C6*(1+'Rent vs Buy Calculator'!C23)^28*'Rent vs Buy Calculator'!C16+'Rent vs Buy Calculator'!C17+'Rent vs Buy Calculator'!C18*12+'Rent vs Buy Calculator'!C6*(1+'Rent vs Buy Calculator'!C23)^28*'Rent vs Buy Calculator'!C19-CUMIPMT('Rent vs Buy Calculator'!C8/12,'Rent vs Buy Calculator'!C9*12,'Rent vs Buy Calculator'!G6,337,348,0)*'Rent vs Buy Calculator'!C25</f>
        <v/>
      </c>
      <c r="G34" s="21">
        <f>G33+'Rent vs Buy Calculator'!C12*12*(1+'Rent vs Buy Calculator'!C13)^28</f>
        <v/>
      </c>
      <c r="H34" s="21">
        <f>'Rent vs Buy Calculator'!G8*(1+'Rent vs Buy Calculator'!C24)^29</f>
        <v/>
      </c>
      <c r="I34" s="24">
        <f>IF(E34&gt;H34,1,0)</f>
        <v/>
      </c>
      <c r="J34" s="25">
        <f>IF(E34&gt;H34,"Buy wins","Rent wins")</f>
        <v/>
      </c>
      <c r="K34" s="1" t="n"/>
      <c r="L34" s="1" t="n"/>
    </row>
    <row r="35" ht="20" customHeight="1">
      <c r="A35" s="1" t="n"/>
      <c r="B35" s="20" t="n">
        <v>30</v>
      </c>
      <c r="C35" s="26">
        <f>'Rent vs Buy Calculator'!C6*(1+'Rent vs Buy Calculator'!C23)^30</f>
        <v/>
      </c>
      <c r="D35" s="26">
        <f>MAX(0,FV('Rent vs Buy Calculator'!C8/12,(29+1)*12,-'Rent vs Buy Calculator'!G7,'Rent vs Buy Calculator'!G6))</f>
        <v/>
      </c>
      <c r="E35" s="27">
        <f>C35-D35</f>
        <v/>
      </c>
      <c r="F35" s="28">
        <f>F34+'Rent vs Buy Calculator'!G7*12+'Rent vs Buy Calculator'!C6*(1+'Rent vs Buy Calculator'!C23)^29*'Rent vs Buy Calculator'!C16+'Rent vs Buy Calculator'!C17+'Rent vs Buy Calculator'!C18*12+'Rent vs Buy Calculator'!C6*(1+'Rent vs Buy Calculator'!C23)^29*'Rent vs Buy Calculator'!C19-CUMIPMT('Rent vs Buy Calculator'!C8/12,'Rent vs Buy Calculator'!C9*12,'Rent vs Buy Calculator'!G6,349,360,0)*'Rent vs Buy Calculator'!C25</f>
        <v/>
      </c>
      <c r="G35" s="26">
        <f>G34+'Rent vs Buy Calculator'!C12*12*(1+'Rent vs Buy Calculator'!C13)^29</f>
        <v/>
      </c>
      <c r="H35" s="26">
        <f>'Rent vs Buy Calculator'!G8*(1+'Rent vs Buy Calculator'!C24)^30</f>
        <v/>
      </c>
      <c r="I35" s="29">
        <f>IF(E35&gt;H35,1,0)</f>
        <v/>
      </c>
      <c r="J35" s="30">
        <f>IF(E35&gt;H35,"Buy wins","Rent wins")</f>
        <v/>
      </c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31" t="inlineStr">
        <is>
          <t>Summary</t>
        </is>
      </c>
      <c r="D40" s="1" t="n"/>
      <c r="E40" s="1" t="n"/>
      <c r="F40" s="1" t="n"/>
      <c r="G40" s="1" t="n"/>
      <c r="H40" s="1" t="n"/>
      <c r="I40" s="1" t="n"/>
      <c r="J40" s="1" t="n"/>
      <c r="K40" s="32">
        <f>IF(COUNTIF(I6:I35,1)&gt;0,"Buy better after year "&amp;MATCH(1,I6:I35,0)&amp;"","Renting better for "&amp;'Rent vs Buy Calculator'!C26&amp;" years")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</sheetData>
  <mergeCells count="5">
    <mergeCell ref="B1:K1"/>
    <mergeCell ref="B2:K2"/>
    <mergeCell ref="B40:C40"/>
    <mergeCell ref="K40:L40"/>
    <mergeCell ref="B3:K3"/>
  </mergeCells>
  <conditionalFormatting sqref="E6:H6">
    <cfRule type="expression" priority="1" dxfId="0">
      <formula>E6&gt;H6</formula>
    </cfRule>
  </conditionalFormatting>
  <conditionalFormatting sqref="E7:H7">
    <cfRule type="expression" priority="2" dxfId="0">
      <formula>E7&gt;H7</formula>
    </cfRule>
  </conditionalFormatting>
  <conditionalFormatting sqref="E8:H8">
    <cfRule type="expression" priority="3" dxfId="0">
      <formula>E8&gt;H8</formula>
    </cfRule>
  </conditionalFormatting>
  <conditionalFormatting sqref="E9:H9">
    <cfRule type="expression" priority="4" dxfId="0">
      <formula>E9&gt;H9</formula>
    </cfRule>
  </conditionalFormatting>
  <conditionalFormatting sqref="E10:H10">
    <cfRule type="expression" priority="5" dxfId="0">
      <formula>E10&gt;H10</formula>
    </cfRule>
  </conditionalFormatting>
  <conditionalFormatting sqref="E11:H11">
    <cfRule type="expression" priority="6" dxfId="0">
      <formula>E11&gt;H11</formula>
    </cfRule>
  </conditionalFormatting>
  <conditionalFormatting sqref="E12:H12">
    <cfRule type="expression" priority="7" dxfId="0">
      <formula>E12&gt;H12</formula>
    </cfRule>
  </conditionalFormatting>
  <conditionalFormatting sqref="E13:H13">
    <cfRule type="expression" priority="8" dxfId="0">
      <formula>E13&gt;H13</formula>
    </cfRule>
  </conditionalFormatting>
  <conditionalFormatting sqref="E14:H14">
    <cfRule type="expression" priority="9" dxfId="0">
      <formula>E14&gt;H14</formula>
    </cfRule>
  </conditionalFormatting>
  <conditionalFormatting sqref="E15:H15">
    <cfRule type="expression" priority="10" dxfId="0">
      <formula>E15&gt;H15</formula>
    </cfRule>
  </conditionalFormatting>
  <conditionalFormatting sqref="E16:H16">
    <cfRule type="expression" priority="11" dxfId="0">
      <formula>E16&gt;H16</formula>
    </cfRule>
  </conditionalFormatting>
  <conditionalFormatting sqref="E17:H17">
    <cfRule type="expression" priority="12" dxfId="0">
      <formula>E17&gt;H17</formula>
    </cfRule>
  </conditionalFormatting>
  <conditionalFormatting sqref="E18:H18">
    <cfRule type="expression" priority="13" dxfId="0">
      <formula>E18&gt;H18</formula>
    </cfRule>
  </conditionalFormatting>
  <conditionalFormatting sqref="E19:H19">
    <cfRule type="expression" priority="14" dxfId="0">
      <formula>E19&gt;H19</formula>
    </cfRule>
  </conditionalFormatting>
  <conditionalFormatting sqref="E20:H20">
    <cfRule type="expression" priority="15" dxfId="0">
      <formula>E20&gt;H20</formula>
    </cfRule>
  </conditionalFormatting>
  <conditionalFormatting sqref="E21:H21">
    <cfRule type="expression" priority="16" dxfId="0">
      <formula>E21&gt;H21</formula>
    </cfRule>
  </conditionalFormatting>
  <conditionalFormatting sqref="E22:H22">
    <cfRule type="expression" priority="17" dxfId="0">
      <formula>E22&gt;H22</formula>
    </cfRule>
  </conditionalFormatting>
  <conditionalFormatting sqref="E23:H23">
    <cfRule type="expression" priority="18" dxfId="0">
      <formula>E23&gt;H23</formula>
    </cfRule>
  </conditionalFormatting>
  <conditionalFormatting sqref="E24:H24">
    <cfRule type="expression" priority="19" dxfId="0">
      <formula>E24&gt;H24</formula>
    </cfRule>
  </conditionalFormatting>
  <conditionalFormatting sqref="E25:H25">
    <cfRule type="expression" priority="20" dxfId="0">
      <formula>E25&gt;H25</formula>
    </cfRule>
  </conditionalFormatting>
  <conditionalFormatting sqref="E26:H26">
    <cfRule type="expression" priority="21" dxfId="0">
      <formula>E26&gt;H26</formula>
    </cfRule>
  </conditionalFormatting>
  <conditionalFormatting sqref="E27:H27">
    <cfRule type="expression" priority="22" dxfId="0">
      <formula>E27&gt;H27</formula>
    </cfRule>
  </conditionalFormatting>
  <conditionalFormatting sqref="E28:H28">
    <cfRule type="expression" priority="23" dxfId="0">
      <formula>E28&gt;H28</formula>
    </cfRule>
  </conditionalFormatting>
  <conditionalFormatting sqref="E29:H29">
    <cfRule type="expression" priority="24" dxfId="0">
      <formula>E29&gt;H29</formula>
    </cfRule>
  </conditionalFormatting>
  <conditionalFormatting sqref="E30:H30">
    <cfRule type="expression" priority="25" dxfId="0">
      <formula>E30&gt;H30</formula>
    </cfRule>
  </conditionalFormatting>
  <conditionalFormatting sqref="E31:H31">
    <cfRule type="expression" priority="26" dxfId="0">
      <formula>E31&gt;H31</formula>
    </cfRule>
  </conditionalFormatting>
  <conditionalFormatting sqref="E32:H32">
    <cfRule type="expression" priority="27" dxfId="0">
      <formula>E32&gt;H32</formula>
    </cfRule>
  </conditionalFormatting>
  <conditionalFormatting sqref="E33:H33">
    <cfRule type="expression" priority="28" dxfId="0">
      <formula>E33&gt;H33</formula>
    </cfRule>
  </conditionalFormatting>
  <conditionalFormatting sqref="E34:H34">
    <cfRule type="expression" priority="29" dxfId="0">
      <formula>E34&gt;H34</formula>
    </cfRule>
  </conditionalFormatting>
  <conditionalFormatting sqref="E35:H35">
    <cfRule type="expression" priority="30" dxfId="0">
      <formula>E35&gt;H35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86C1"/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4" customWidth="1" min="4" max="4"/>
    <col width="18" customWidth="1" min="5" max="5"/>
    <col width="4" customWidth="1" min="6" max="6"/>
    <col width="18" customWidth="1" min="7" max="7"/>
    <col width="2" customWidth="1" min="8" max="8"/>
  </cols>
  <sheetData>
    <row r="1" ht="10" customHeight="1">
      <c r="A1" s="1" t="n"/>
      <c r="B1" s="2" t="n"/>
      <c r="H1" s="1" t="n"/>
    </row>
    <row r="2" ht="38" customHeight="1">
      <c r="A2" s="1" t="n"/>
      <c r="B2" s="3" t="inlineStr">
        <is>
          <t>WHAT-IF SCENARIOS</t>
        </is>
      </c>
      <c r="H2" s="1" t="n"/>
    </row>
    <row r="3">
      <c r="A3" s="1" t="n"/>
      <c r="B3" s="4" t="inlineStr">
        <is>
          <t>Compare current market vs optimistic vs conservative assumptions.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9" t="inlineStr">
        <is>
          <t>Parameter</t>
        </is>
      </c>
      <c r="C5" s="19" t="inlineStr">
        <is>
          <t>Current Market</t>
        </is>
      </c>
      <c r="D5" s="6" t="n"/>
      <c r="E5" s="19" t="inlineStr">
        <is>
          <t>Optimistic</t>
        </is>
      </c>
      <c r="F5" s="6" t="n"/>
      <c r="G5" s="19" t="inlineStr">
        <is>
          <t>Conservative</t>
        </is>
      </c>
      <c r="H5" s="1" t="n"/>
    </row>
    <row r="6" ht="22" customHeight="1">
      <c r="A6" s="1" t="n"/>
      <c r="B6" s="29" t="inlineStr">
        <is>
          <t>Mortgage Rate</t>
        </is>
      </c>
      <c r="C6" s="33">
        <f>'Rent vs Buy Calculator'!C8</f>
        <v/>
      </c>
      <c r="D6" s="1" t="n"/>
      <c r="E6" s="34" t="n">
        <v>0.055</v>
      </c>
      <c r="F6" s="1" t="n"/>
      <c r="G6" s="34" t="n">
        <v>0.075</v>
      </c>
      <c r="H6" s="1" t="n"/>
    </row>
    <row r="7" ht="22" customHeight="1">
      <c r="A7" s="1" t="n"/>
      <c r="B7" s="29" t="inlineStr">
        <is>
          <t>Rent Increase</t>
        </is>
      </c>
      <c r="C7" s="35">
        <f>'Rent vs Buy Calculator'!C13</f>
        <v/>
      </c>
      <c r="D7" s="1" t="n"/>
      <c r="E7" s="36" t="n">
        <v>0.02</v>
      </c>
      <c r="F7" s="1" t="n"/>
      <c r="G7" s="36" t="n">
        <v>0.05</v>
      </c>
      <c r="H7" s="1" t="n"/>
    </row>
    <row r="8" ht="22" customHeight="1">
      <c r="A8" s="1" t="n"/>
      <c r="B8" s="29" t="inlineStr">
        <is>
          <t>Home Appreciation</t>
        </is>
      </c>
      <c r="C8" s="35">
        <f>'Rent vs Buy Calculator'!C23</f>
        <v/>
      </c>
      <c r="D8" s="1" t="n"/>
      <c r="E8" s="36" t="n">
        <v>0.05</v>
      </c>
      <c r="F8" s="1" t="n"/>
      <c r="G8" s="36" t="n">
        <v>0.02</v>
      </c>
      <c r="H8" s="1" t="n"/>
    </row>
    <row r="9" ht="22" customHeight="1">
      <c r="A9" s="1" t="n"/>
      <c r="B9" s="29" t="inlineStr">
        <is>
          <t>Investment Return</t>
        </is>
      </c>
      <c r="C9" s="35">
        <f>'Rent vs Buy Calculator'!C24</f>
        <v/>
      </c>
      <c r="D9" s="1" t="n"/>
      <c r="E9" s="36" t="n">
        <v>0.08</v>
      </c>
      <c r="F9" s="1" t="n"/>
      <c r="G9" s="36" t="n">
        <v>0.05</v>
      </c>
      <c r="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1" t="n"/>
      <c r="B11" s="5" t="inlineStr">
        <is>
          <t>RESULTS AT YEAR 10</t>
        </is>
      </c>
      <c r="C11" s="6" t="n"/>
      <c r="D11" s="6" t="n"/>
      <c r="E11" s="6" t="n"/>
      <c r="F11" s="6" t="n"/>
      <c r="G11" s="6" t="n"/>
      <c r="H11" s="1" t="n"/>
    </row>
    <row r="12">
      <c r="A12" s="1" t="n"/>
      <c r="B12" s="29" t="inlineStr">
        <is>
          <t>Buyer Equity (Yr 10)</t>
        </is>
      </c>
      <c r="C12" s="37">
        <f>'Rent vs Buy Calculator'!C6*(1+'Rent vs Buy Calculator'!C23)^10-FV('Rent vs Buy Calculator'!C8/12,120,-'Rent vs Buy Calculator'!G7,'Rent vs Buy Calculator'!G6)</f>
        <v/>
      </c>
      <c r="D12" s="1" t="n"/>
      <c r="E12" s="37">
        <f>'Rent vs Buy Calculator'!C6*(1+E8)^10-FV(E6/12,120,-'Rent vs Buy Calculator'!G7,'Rent vs Buy Calculator'!G6)</f>
        <v/>
      </c>
      <c r="F12" s="1" t="n"/>
      <c r="G12" s="37">
        <f>'Rent vs Buy Calculator'!C6*(1+G8)^10-FV(G6/12,120,-'Rent vs Buy Calculator'!G7,'Rent vs Buy Calculator'!G6)</f>
        <v/>
      </c>
      <c r="H12" s="1" t="n"/>
    </row>
    <row r="13" ht="22" customHeight="1">
      <c r="A13" s="1" t="n"/>
      <c r="B13" s="29" t="inlineStr">
        <is>
          <t>Renter Investments (Yr 10)</t>
        </is>
      </c>
      <c r="C13" s="37">
        <f>'Rent vs Buy Calculator'!G8*(1+'Rent vs Buy Calculator'!C24)^10</f>
        <v/>
      </c>
      <c r="D13" s="1" t="n"/>
      <c r="E13" s="37">
        <f>'Rent vs Buy Calculator'!G8*(1+E9)^10</f>
        <v/>
      </c>
      <c r="F13" s="1" t="n"/>
      <c r="G13" s="37">
        <f>'Rent vs Buy Calculator'!G8*(1+G9)^10</f>
        <v/>
      </c>
      <c r="H13" s="1" t="n"/>
    </row>
    <row r="14" ht="22" customHeight="1">
      <c r="A14" s="1" t="n"/>
      <c r="B14" s="29" t="inlineStr">
        <is>
          <t>Winner</t>
        </is>
      </c>
      <c r="C14" s="38">
        <f>IF(C12&gt;C13,"Buy","Rent")</f>
        <v/>
      </c>
      <c r="D14" s="1" t="n"/>
      <c r="E14" s="38">
        <f>IF(E12&gt;E13,"Buy","Rent")</f>
        <v/>
      </c>
      <c r="F14" s="1" t="n"/>
      <c r="G14" s="38">
        <f>IF(G12&gt;G13,"Buy","Rent")</f>
        <v/>
      </c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">
    <mergeCell ref="B3:G3"/>
    <mergeCell ref="B2:G2"/>
    <mergeCell ref="B11:G11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D6D7E"/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" customWidth="1" min="1" max="1"/>
    <col width="90" customWidth="1" min="2" max="2"/>
  </cols>
  <sheetData>
    <row r="1">
      <c r="A1" s="3" t="inlineStr">
        <is>
          <t>HOW TO USE THE RENT VS BUY CALCULATOR</t>
        </is>
      </c>
      <c r="B1" s="2" t="n"/>
    </row>
    <row r="2">
      <c r="A2" s="2" t="n"/>
      <c r="B2" s="2" t="n"/>
    </row>
    <row r="4">
      <c r="B4" s="39" t="inlineStr">
        <is>
          <t>QUICK START</t>
        </is>
      </c>
    </row>
    <row r="5" ht="22" customHeight="1">
      <c r="B5" s="40" t="inlineStr">
        <is>
          <t>1. Open the 'Rent vs Buy Calculator' tab and enter your numbers in the TEAL cells</t>
        </is>
      </c>
    </row>
    <row r="6" ht="22" customHeight="1">
      <c r="B6" s="40" t="inlineStr">
        <is>
          <t>2. Results appear on the right: monthly payment, break-even, verdict</t>
        </is>
      </c>
    </row>
    <row r="7" ht="22" customHeight="1">
      <c r="B7" s="40" t="inlineStr">
        <is>
          <t>3. Check the 'Year-by-Year' tab for the full 30-year comparison</t>
        </is>
      </c>
    </row>
    <row r="8" ht="22" customHeight="1">
      <c r="B8" s="40" t="inlineStr">
        <is>
          <t>4. Use 'What-If Scenarios' to test different market assumptions</t>
        </is>
      </c>
    </row>
    <row r="10">
      <c r="B10" s="39" t="inlineStr">
        <is>
          <t>INPUT EXPLANATIONS</t>
        </is>
      </c>
    </row>
    <row r="11" ht="22" customHeight="1">
      <c r="B11" s="40" t="inlineStr">
        <is>
          <t>Home Purchase Price: The total price of the home you're considering</t>
        </is>
      </c>
    </row>
    <row r="12" ht="22" customHeight="1">
      <c r="B12" s="40" t="inlineStr">
        <is>
          <t>Down Payment %: Typically 20% to avoid PMI; 3-5% for FHA/conventional low-down</t>
        </is>
      </c>
    </row>
    <row r="13" ht="22" customHeight="1">
      <c r="B13" s="40" t="inlineStr">
        <is>
          <t>Mortgage Rate: Current market rate for your credit profile and term</t>
        </is>
      </c>
    </row>
    <row r="14" ht="22" customHeight="1">
      <c r="B14" s="40" t="inlineStr">
        <is>
          <t>Mortgage Term: 30-year = lower payment, more interest; 15-year = higher payment, less interest</t>
        </is>
      </c>
    </row>
    <row r="15" ht="22" customHeight="1">
      <c r="B15" s="40" t="inlineStr">
        <is>
          <t>Monthly Rent: What you'd pay to rent a comparable home</t>
        </is>
      </c>
    </row>
    <row r="16" ht="22" customHeight="1">
      <c r="B16" s="40" t="inlineStr">
        <is>
          <t>Rent Increase %: Historical average ~3%/year; adjust for your market</t>
        </is>
      </c>
    </row>
    <row r="17" ht="22" customHeight="1">
      <c r="B17" s="40" t="inlineStr">
        <is>
          <t>Property Tax %: Varies by location; 1-2% typical in US</t>
        </is>
      </c>
    </row>
    <row r="18" ht="22" customHeight="1">
      <c r="B18" s="40" t="inlineStr">
        <is>
          <t>Home Insurance: Annual premium; get a quote for accuracy</t>
        </is>
      </c>
    </row>
    <row r="19" ht="22" customHeight="1">
      <c r="B19" s="40" t="inlineStr">
        <is>
          <t>HOA Fees: Monthly HOA/condo fees; $0 for single-family</t>
        </is>
      </c>
    </row>
    <row r="20" ht="22" customHeight="1">
      <c r="B20" s="40" t="inlineStr">
        <is>
          <t>Maintenance %: Rule of thumb 1% of home value per year</t>
        </is>
      </c>
    </row>
    <row r="21" ht="22" customHeight="1">
      <c r="B21" s="40" t="inlineStr">
        <is>
          <t>Closing Costs %: Typically 2-5% of purchase price</t>
        </is>
      </c>
    </row>
    <row r="22" ht="22" customHeight="1">
      <c r="B22" s="40" t="inlineStr">
        <is>
          <t>Appreciation %: Historical US average ~3.5%; varies by market</t>
        </is>
      </c>
    </row>
    <row r="23" ht="22" customHeight="1">
      <c r="B23" s="40" t="inlineStr">
        <is>
          <t>Investment Return %: Long-term stock market ~7%; adjust for your allocation</t>
        </is>
      </c>
    </row>
    <row r="24" ht="22" customHeight="1">
      <c r="B24" s="40" t="inlineStr">
        <is>
          <t>Tax Bracket %: For mortgage interest deduction benefit</t>
        </is>
      </c>
    </row>
    <row r="26">
      <c r="B26" s="39" t="inlineStr">
        <is>
          <t>INTERPRETING RESULTS</t>
        </is>
      </c>
    </row>
    <row r="27" ht="22" customHeight="1">
      <c r="B27" s="40" t="inlineStr">
        <is>
          <t>Break-even year: When buyer equity exceeds renter investments</t>
        </is>
      </c>
    </row>
    <row r="28" ht="22" customHeight="1">
      <c r="B28" s="40" t="inlineStr">
        <is>
          <t>Before break-even: Renting and investing the difference is better</t>
        </is>
      </c>
    </row>
    <row r="29" ht="22" customHeight="1">
      <c r="B29" s="40" t="inlineStr">
        <is>
          <t>After break-even: Owning builds more wealth</t>
        </is>
      </c>
    </row>
    <row r="30" ht="22" customHeight="1">
      <c r="B30" s="40" t="inlineStr">
        <is>
          <t>Verdict: Summary of which path wins for your timeframe</t>
        </is>
      </c>
    </row>
    <row r="31" ht="22" customHeight="1">
      <c r="B31" s="40" t="inlineStr">
        <is>
          <t>Monthly comparison: Year 1 costs; rent grows over time, mortgage (P&amp;I) is fixed</t>
        </is>
      </c>
    </row>
    <row r="33">
      <c r="B33" s="39" t="inlineStr">
        <is>
          <t>WHAT-IF SCENARIOS</t>
        </is>
      </c>
    </row>
    <row r="34" ht="22" customHeight="1">
      <c r="B34" s="40" t="inlineStr">
        <is>
          <t>Current Market: Uses your main calculator inputs</t>
        </is>
      </c>
    </row>
    <row r="35" ht="22" customHeight="1">
      <c r="B35" s="40" t="inlineStr">
        <is>
          <t>Optimistic: Lower rates, higher appreciation, higher investment returns</t>
        </is>
      </c>
    </row>
    <row r="36" ht="22" customHeight="1">
      <c r="B36" s="40" t="inlineStr">
        <is>
          <t>Conservative: Higher rates, lower appreciation, lower investment returns</t>
        </is>
      </c>
    </row>
    <row r="37" ht="22" customHeight="1">
      <c r="B37" s="40" t="inlineStr">
        <is>
          <t>Compare which scenario favors buying vs renting</t>
        </is>
      </c>
    </row>
    <row r="39">
      <c r="B39" s="39" t="inlineStr">
        <is>
          <t>IMPORTANT NOTES</t>
        </is>
      </c>
    </row>
    <row r="40" ht="22" customHeight="1">
      <c r="B40" s="40" t="inlineStr">
        <is>
          <t>This calculator does not include: PMI, moving costs, transaction costs on sale</t>
        </is>
      </c>
    </row>
    <row r="41" ht="22" customHeight="1">
      <c r="B41" s="40" t="inlineStr">
        <is>
          <t>Tax savings assume you itemize; many filers take standard deduction</t>
        </is>
      </c>
    </row>
    <row r="42" ht="22" customHeight="1">
      <c r="B42" s="40" t="inlineStr">
        <is>
          <t>Renter scenario simplifies: invests down payment; doesn't model monthly savings flow</t>
        </is>
      </c>
    </row>
    <row r="43" ht="22" customHeight="1">
      <c r="B43" s="40" t="inlineStr">
        <is>
          <t>For personalized advice, consult a financial advisor or CPA</t>
        </is>
      </c>
    </row>
    <row r="44" ht="22" customHeight="1">
      <c r="B44" s="40" t="inlineStr">
        <is>
          <t>© 2026 ClearMetric. For educational use only. Not financial advice.</t>
        </is>
      </c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2026-02-20T15:56:01Z</dcterms:created>
  <dcterms:modified xmlns:dcterms="http://purl.org/dc/terms/" xmlns:xsi="http://www.w3.org/2001/XMLSchema-instance" xsi:type="dcterms:W3CDTF">2026-02-20T15:56:01Z</dcterms:modified>
</cp:coreProperties>
</file>